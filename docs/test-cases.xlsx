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Requirements" sheetId="3" state="visible" r:id="rId5"/>
    <sheet name="Seeded Bugs" sheetId="4" state="visible" r:id="rId6"/>
  </sheets>
  <definedNames>
    <definedName function="false" hidden="true" localSheetId="1" name="_xlnm._FilterDatabase" vbProcedure="false">'Test Cases'!$A$1:$N$130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<sst xmlns="http://schemas.openxmlformats.org/spreadsheetml/2006/main" count="1781" uniqueCount="639">
  <si>
    <t xml:space="preserve">Test case summary: QA Orders platform</t>
  </si>
  <si>
    <t xml:space="preserve">Legend: blue cells on 'Test Cases' (Status, Notes) are for you to edit; everything on this sheet is a formula and updates automatically. Example: set TC-AUTH-001 to Pass and watch 'Pass rate' change.</t>
  </si>
  <si>
    <t xml:space="preserve">Headline metric</t>
  </si>
  <si>
    <t xml:space="preserve">Value</t>
  </si>
  <si>
    <t xml:space="preserve">Total test cases</t>
  </si>
  <si>
    <t xml:space="preserve">Fully automated</t>
  </si>
  <si>
    <t xml:space="preserve">Partly automated</t>
  </si>
  <si>
    <t xml:space="preserve">Manual only</t>
  </si>
  <si>
    <t xml:space="preserve">Automated or partial (%)</t>
  </si>
  <si>
    <t xml:space="preserve">Requirements covered (%)</t>
  </si>
  <si>
    <t xml:space="preserve">Seeded bugs with at least one linked case</t>
  </si>
  <si>
    <t xml:space="preserve">Executed (Pass + Fail + Blocked)</t>
  </si>
  <si>
    <t xml:space="preserve">Pass rate of executed</t>
  </si>
  <si>
    <t xml:space="preserve">By test type</t>
  </si>
  <si>
    <t xml:space="preserve">Count</t>
  </si>
  <si>
    <t xml:space="preserve">Share</t>
  </si>
  <si>
    <t xml:space="preserve">API</t>
  </si>
  <si>
    <t xml:space="preserve">Functional</t>
  </si>
  <si>
    <t xml:space="preserve">Integration</t>
  </si>
  <si>
    <t xml:space="preserve">Regression</t>
  </si>
  <si>
    <t xml:space="preserve">Compatibility</t>
  </si>
  <si>
    <t xml:space="preserve">Security</t>
  </si>
  <si>
    <t xml:space="preserve">Accessibility</t>
  </si>
  <si>
    <t xml:space="preserve">Database</t>
  </si>
  <si>
    <t xml:space="preserve">By layer</t>
  </si>
  <si>
    <t xml:space="preserve">UI</t>
  </si>
  <si>
    <t xml:space="preserve">DB</t>
  </si>
  <si>
    <t xml:space="preserve">By priority</t>
  </si>
  <si>
    <t xml:space="preserve">P1</t>
  </si>
  <si>
    <t xml:space="preserve">P2</t>
  </si>
  <si>
    <t xml:space="preserve">P3</t>
  </si>
  <si>
    <t xml:space="preserve">P4</t>
  </si>
  <si>
    <t xml:space="preserve">By module</t>
  </si>
  <si>
    <t xml:space="preserve">AUTH</t>
  </si>
  <si>
    <t xml:space="preserve">ORD</t>
  </si>
  <si>
    <t xml:space="preserve">LIST</t>
  </si>
  <si>
    <t xml:space="preserve">FLOW</t>
  </si>
  <si>
    <t xml:space="preserve">STAT</t>
  </si>
  <si>
    <t xml:space="preserve">A11Y</t>
  </si>
  <si>
    <t xml:space="preserve">COMP</t>
  </si>
  <si>
    <t xml:space="preserve">CLOUD</t>
  </si>
  <si>
    <t xml:space="preserve">By status</t>
  </si>
  <si>
    <t xml:space="preserve">Not Run</t>
  </si>
  <si>
    <t xml:space="preserve">Pass</t>
  </si>
  <si>
    <t xml:space="preserve">Fail</t>
  </si>
  <si>
    <t xml:space="preserve">Blocked</t>
  </si>
  <si>
    <t xml:space="preserve">Note: 'Share' columns are relative to the total number of test cases.</t>
  </si>
  <si>
    <t xml:space="preserve">ID</t>
  </si>
  <si>
    <t xml:space="preserve">Module</t>
  </si>
  <si>
    <t xml:space="preserve">Req ID</t>
  </si>
  <si>
    <t xml:space="preserve">Title</t>
  </si>
  <si>
    <t xml:space="preserve">Type</t>
  </si>
  <si>
    <t xml:space="preserve">Layer</t>
  </si>
  <si>
    <t xml:space="preserve">Priority</t>
  </si>
  <si>
    <t xml:space="preserve">Steps</t>
  </si>
  <si>
    <t xml:space="preserve">Expected result</t>
  </si>
  <si>
    <t xml:space="preserve">Automated in</t>
  </si>
  <si>
    <t xml:space="preserve">Automation</t>
  </si>
  <si>
    <t xml:space="preserve">Seeded bug</t>
  </si>
  <si>
    <t xml:space="preserve">Status</t>
  </si>
  <si>
    <t xml:space="preserve">Notes</t>
  </si>
  <si>
    <t xml:space="preserve">TC-AUTH-001</t>
  </si>
  <si>
    <t xml:space="preserve">R-01</t>
  </si>
  <si>
    <t xml:space="preserve">Register a valid user</t>
  </si>
  <si>
    <t xml:space="preserve">POST /register with valid name, e-mail, password</t>
  </si>
  <si>
    <t xml:space="preserve">201; token and user returned</t>
  </si>
  <si>
    <t xml:space="preserve">Postman; REST Assured</t>
  </si>
  <si>
    <t xml:space="preserve">Automated</t>
  </si>
  <si>
    <t xml:space="preserve">TC-AUTH-002</t>
  </si>
  <si>
    <t xml:space="preserve">Password hash is never returned</t>
  </si>
  <si>
    <t xml:space="preserve">Register; inspect the JSON body</t>
  </si>
  <si>
    <t xml:space="preserve">No 'password' field anywhere in the response</t>
  </si>
  <si>
    <t xml:space="preserve">TC-AUTH-003</t>
  </si>
  <si>
    <t xml:space="preserve">Duplicate e-mail rejected</t>
  </si>
  <si>
    <t xml:space="preserve">Register the same e-mail twice</t>
  </si>
  <si>
    <t xml:space="preserve">Second call 422 with an e-mail error</t>
  </si>
  <si>
    <t xml:space="preserve">TC-AUTH-004</t>
  </si>
  <si>
    <t xml:space="preserve">Malformed e-mail rejected</t>
  </si>
  <si>
    <t xml:space="preserve">Register with a unique per-run value such as 'plainaddress&lt;token&gt;', '@no-local-&lt;token&gt;.com', 'two&lt;token&gt;@@x.com', 'a b&lt;token&gt;@c.com'</t>
  </si>
  <si>
    <t xml:space="preserve">422 for each value</t>
  </si>
  <si>
    <t xml:space="preserve">Postman; REST Assured; Cypress</t>
  </si>
  <si>
    <t xml:space="preserve">BUG-001</t>
  </si>
  <si>
    <t xml:space="preserve">TC-AUTH-005</t>
  </si>
  <si>
    <t xml:space="preserve">Missing fields rejected</t>
  </si>
  <si>
    <t xml:space="preserve">POST /register with {}</t>
  </si>
  <si>
    <t xml:space="preserve">422 listing name, email and password errors</t>
  </si>
  <si>
    <t xml:space="preserve">Postman</t>
  </si>
  <si>
    <t xml:space="preserve">TC-AUTH-006</t>
  </si>
  <si>
    <t xml:space="preserve">Plus-addressed e-mail accepted</t>
  </si>
  <si>
    <t xml:space="preserve">Register 'user+tag@example.com'</t>
  </si>
  <si>
    <t xml:space="preserve">201</t>
  </si>
  <si>
    <t xml:space="preserve">Manual</t>
  </si>
  <si>
    <t xml:space="preserve">TC-AUTH-007</t>
  </si>
  <si>
    <t xml:space="preserve">R-02</t>
  </si>
  <si>
    <t xml:space="preserve">Password length 7 rejected</t>
  </si>
  <si>
    <t xml:space="preserve">Register with a 7-character password</t>
  </si>
  <si>
    <t xml:space="preserve">422</t>
  </si>
  <si>
    <t xml:space="preserve">TC-AUTH-008</t>
  </si>
  <si>
    <t xml:space="preserve">Password length 8 accepted</t>
  </si>
  <si>
    <t xml:space="preserve">Register with an 8-character password</t>
  </si>
  <si>
    <t xml:space="preserve">TC-AUTH-009</t>
  </si>
  <si>
    <t xml:space="preserve">Password length 72 accepted, 73 rejected</t>
  </si>
  <si>
    <t xml:space="preserve">Register with 72 then 73 characters</t>
  </si>
  <si>
    <t xml:space="preserve">201 then 422</t>
  </si>
  <si>
    <t xml:space="preserve">TC-AUTH-010</t>
  </si>
  <si>
    <t xml:space="preserve">Name length 100 accepted, 101 rejected</t>
  </si>
  <si>
    <t xml:space="preserve">Register with a 100 then 101 character name</t>
  </si>
  <si>
    <t xml:space="preserve">TC-AUTH-011</t>
  </si>
  <si>
    <t xml:space="preserve">R-03</t>
  </si>
  <si>
    <t xml:space="preserve">Login with valid credentials</t>
  </si>
  <si>
    <t xml:space="preserve">POST /login with a registered user</t>
  </si>
  <si>
    <t xml:space="preserve">200 and a token</t>
  </si>
  <si>
    <t xml:space="preserve">TC-AUTH-012</t>
  </si>
  <si>
    <t xml:space="preserve">Login with wrong password</t>
  </si>
  <si>
    <t xml:space="preserve">POST /login with a wrong password</t>
  </si>
  <si>
    <t xml:space="preserve">401 'Invalid credentials'</t>
  </si>
  <si>
    <t xml:space="preserve">TC-AUTH-013</t>
  </si>
  <si>
    <t xml:space="preserve">Unknown e-mail is indistinguishable from wrong password</t>
  </si>
  <si>
    <t xml:space="preserve">Login with an unregistered e-mail</t>
  </si>
  <si>
    <t xml:space="preserve">401 with the same message as a wrong password</t>
  </si>
  <si>
    <t xml:space="preserve">BUG-008</t>
  </si>
  <si>
    <t xml:space="preserve">TC-AUTH-014</t>
  </si>
  <si>
    <t xml:space="preserve">Login with empty body</t>
  </si>
  <si>
    <t xml:space="preserve">POST /login with {}</t>
  </si>
  <si>
    <t xml:space="preserve">TC-AUTH-015</t>
  </si>
  <si>
    <t xml:space="preserve">SQL injection string in login</t>
  </si>
  <si>
    <t xml:space="preserve">Login with e-mail "' OR '1'='1"</t>
  </si>
  <si>
    <t xml:space="preserve">No 5xx, no token issued</t>
  </si>
  <si>
    <t xml:space="preserve">TC-AUTH-016</t>
  </si>
  <si>
    <t xml:space="preserve">Failed login is visible in the UI</t>
  </si>
  <si>
    <t xml:space="preserve">Submit the login form with wrong credentials</t>
  </si>
  <si>
    <t xml:space="preserve">A role=alert error message is displayed</t>
  </si>
  <si>
    <t xml:space="preserve">Cypress; Playwright</t>
  </si>
  <si>
    <t xml:space="preserve">BUG-015</t>
  </si>
  <si>
    <t xml:space="preserve">TC-AUTH-017</t>
  </si>
  <si>
    <t xml:space="preserve">R-04</t>
  </si>
  <si>
    <t xml:space="preserve">GET /me with a valid token</t>
  </si>
  <si>
    <t xml:space="preserve">Call /me with a Bearer token</t>
  </si>
  <si>
    <t xml:space="preserve">200 and the user's profile</t>
  </si>
  <si>
    <t xml:space="preserve">TC-AUTH-018</t>
  </si>
  <si>
    <t xml:space="preserve">GET /me without token</t>
  </si>
  <si>
    <t xml:space="preserve">Call /me with no Authorization header</t>
  </si>
  <si>
    <t xml:space="preserve">401</t>
  </si>
  <si>
    <t xml:space="preserve">TC-AUTH-019</t>
  </si>
  <si>
    <t xml:space="preserve">GET /me with a garbage token</t>
  </si>
  <si>
    <t xml:space="preserve">Authorization: Bearer garbage</t>
  </si>
  <si>
    <t xml:space="preserve">TC-AUTH-020</t>
  </si>
  <si>
    <t xml:space="preserve">Logout revokes the token</t>
  </si>
  <si>
    <t xml:space="preserve">Logout, then call /me with the same token</t>
  </si>
  <si>
    <t xml:space="preserve">Logout 200, then 401</t>
  </si>
  <si>
    <t xml:space="preserve">TC-AUTH-021</t>
  </si>
  <si>
    <t xml:space="preserve">Logging out one session keeps another valid</t>
  </si>
  <si>
    <t xml:space="preserve">Login twice (tokens T1, T2); logout T1; call /me with T2</t>
  </si>
  <si>
    <t xml:space="preserve">T2 still returns 200</t>
  </si>
  <si>
    <t xml:space="preserve">TC-AUTH-022</t>
  </si>
  <si>
    <t xml:space="preserve">UI registration lands on the orders list</t>
  </si>
  <si>
    <t xml:space="preserve">Register through the form</t>
  </si>
  <si>
    <t xml:space="preserve">Orders page is shown</t>
  </si>
  <si>
    <t xml:space="preserve">Cypress</t>
  </si>
  <si>
    <t xml:space="preserve">TC-AUTH-023</t>
  </si>
  <si>
    <t xml:space="preserve">UI login and logout</t>
  </si>
  <si>
    <t xml:space="preserve">Login, then press Log out</t>
  </si>
  <si>
    <t xml:space="preserve">Orders page, then the login form again</t>
  </si>
  <si>
    <t xml:space="preserve">TC-ORD-001</t>
  </si>
  <si>
    <t xml:space="preserve">R-05</t>
  </si>
  <si>
    <t xml:space="preserve">Create a single-item order</t>
  </si>
  <si>
    <t xml:space="preserve">POST /orders with one item</t>
  </si>
  <si>
    <t xml:space="preserve">201; status 'created'; item persisted</t>
  </si>
  <si>
    <t xml:space="preserve">TC-ORD-002</t>
  </si>
  <si>
    <t xml:space="preserve">R-07</t>
  </si>
  <si>
    <t xml:space="preserve">Total is the sum of qty x price for several items</t>
  </si>
  <si>
    <t xml:space="preserve">Create an order with 3x9.99 and 1x0.01</t>
  </si>
  <si>
    <t xml:space="preserve">total 29.98</t>
  </si>
  <si>
    <t xml:space="preserve">TC-ORD-003</t>
  </si>
  <si>
    <t xml:space="preserve">Smallest price and quantity rounding</t>
  </si>
  <si>
    <t xml:space="preserve">3 x 0.01</t>
  </si>
  <si>
    <t xml:space="preserve">total 0.03</t>
  </si>
  <si>
    <t xml:space="preserve">TC-ORD-004</t>
  </si>
  <si>
    <t xml:space="preserve">No hidden discount on bulk quantities</t>
  </si>
  <si>
    <t xml:space="preserve">Create an order with qty 10 x 100</t>
  </si>
  <si>
    <t xml:space="preserve">total 1000.00</t>
  </si>
  <si>
    <t xml:space="preserve">Postman; REST Assured; Cypress; PL/SQL</t>
  </si>
  <si>
    <t xml:space="preserve">BUG-007</t>
  </si>
  <si>
    <t xml:space="preserve">TC-ORD-005</t>
  </si>
  <si>
    <t xml:space="preserve">R-06</t>
  </si>
  <si>
    <t xml:space="preserve">Quantity 0 rejected</t>
  </si>
  <si>
    <t xml:space="preserve">POST an item with quantity 0</t>
  </si>
  <si>
    <t xml:space="preserve">BUG-002</t>
  </si>
  <si>
    <t xml:space="preserve">TC-ORD-006</t>
  </si>
  <si>
    <t xml:space="preserve">Negative quantity rejected</t>
  </si>
  <si>
    <t xml:space="preserve">POST an item with quantity -5</t>
  </si>
  <si>
    <t xml:space="preserve">Postman; REST Assured; PL/SQL</t>
  </si>
  <si>
    <t xml:space="preserve">TC-ORD-007</t>
  </si>
  <si>
    <t xml:space="preserve">Quantity 1 accepted (lower boundary)</t>
  </si>
  <si>
    <t xml:space="preserve">POST an item with quantity 1</t>
  </si>
  <si>
    <t xml:space="preserve">REST Assured</t>
  </si>
  <si>
    <t xml:space="preserve">TC-ORD-008</t>
  </si>
  <si>
    <t xml:space="preserve">Quantity 1000 accepted (upper boundary)</t>
  </si>
  <si>
    <t xml:space="preserve">POST an item with quantity 1000</t>
  </si>
  <si>
    <t xml:space="preserve">TC-ORD-009</t>
  </si>
  <si>
    <t xml:space="preserve">Quantity 1001 rejected</t>
  </si>
  <si>
    <t xml:space="preserve">POST an item with quantity 1001</t>
  </si>
  <si>
    <t xml:space="preserve">TC-ORD-010</t>
  </si>
  <si>
    <t xml:space="preserve">Fractional quantity rejected</t>
  </si>
  <si>
    <t xml:space="preserve">POST an item with quantity 1.5</t>
  </si>
  <si>
    <t xml:space="preserve">TC-ORD-011</t>
  </si>
  <si>
    <t xml:space="preserve">Non-numeric quantity rejected</t>
  </si>
  <si>
    <t xml:space="preserve">POST an item with quantity 'abc'</t>
  </si>
  <si>
    <t xml:space="preserve">TC-ORD-012</t>
  </si>
  <si>
    <t xml:space="preserve">Unit price 0 rejected</t>
  </si>
  <si>
    <t xml:space="preserve">POST an item with unit_price 0</t>
  </si>
  <si>
    <t xml:space="preserve">TC-ORD-013</t>
  </si>
  <si>
    <t xml:space="preserve">Unit price 0.01 accepted</t>
  </si>
  <si>
    <t xml:space="preserve">POST an item with unit_price 0.01</t>
  </si>
  <si>
    <t xml:space="preserve">TC-ORD-014</t>
  </si>
  <si>
    <t xml:space="preserve">Unit price 100000 accepted, 100000.01 rejected</t>
  </si>
  <si>
    <t xml:space="preserve">POST both values</t>
  </si>
  <si>
    <t xml:space="preserve">TC-ORD-015</t>
  </si>
  <si>
    <t xml:space="preserve">customer_name missing</t>
  </si>
  <si>
    <t xml:space="preserve">POST without customer_name</t>
  </si>
  <si>
    <t xml:space="preserve">TC-ORD-016</t>
  </si>
  <si>
    <t xml:space="preserve">customer_name 100 accepted, 101 rejected with 422 (not 500)</t>
  </si>
  <si>
    <t xml:space="preserve">POST 100 then 101 characters</t>
  </si>
  <si>
    <t xml:space="preserve">BUG-009</t>
  </si>
  <si>
    <t xml:space="preserve">TC-ORD-017</t>
  </si>
  <si>
    <t xml:space="preserve">Empty items list rejected</t>
  </si>
  <si>
    <t xml:space="preserve">POST items: []</t>
  </si>
  <si>
    <t xml:space="preserve">TC-ORD-018</t>
  </si>
  <si>
    <t xml:space="preserve">20 items accepted, 21 rejected</t>
  </si>
  <si>
    <t xml:space="preserve">POST 20 then 21 items</t>
  </si>
  <si>
    <t xml:space="preserve">TC-ORD-019</t>
  </si>
  <si>
    <t xml:space="preserve">SKU 32 chars accepted, 33 rejected</t>
  </si>
  <si>
    <t xml:space="preserve">POST both lengths</t>
  </si>
  <si>
    <t xml:space="preserve">TC-ORD-020</t>
  </si>
  <si>
    <t xml:space="preserve">Create without a token</t>
  </si>
  <si>
    <t xml:space="preserve">POST /orders without Authorization</t>
  </si>
  <si>
    <t xml:space="preserve">TC-ORD-021</t>
  </si>
  <si>
    <t xml:space="preserve">Script tag in customer_name is stored as text</t>
  </si>
  <si>
    <t xml:space="preserve">POST customer_name '&lt;script&gt;alert(1)&lt;/script&gt;'</t>
  </si>
  <si>
    <t xml:space="preserve">Response is application/json; UI renders it as text, no script runs</t>
  </si>
  <si>
    <t xml:space="preserve">Postman; Manual</t>
  </si>
  <si>
    <t xml:space="preserve">Partial</t>
  </si>
  <si>
    <t xml:space="preserve">TC-ORD-022</t>
  </si>
  <si>
    <t xml:space="preserve">Unicode customer_name round-trips</t>
  </si>
  <si>
    <r>
      <rPr>
        <sz val="10"/>
        <rFont val="Arial"/>
        <family val="0"/>
        <charset val="1"/>
      </rPr>
      <t xml:space="preserve">POST 'Zoe </t>
    </r>
    <r>
      <rPr>
        <sz val="10"/>
        <rFont val="Noto Sans CJK SC"/>
        <family val="2"/>
      </rPr>
      <t xml:space="preserve">株式会社</t>
    </r>
    <r>
      <rPr>
        <sz val="10"/>
        <rFont val="Arial"/>
        <family val="0"/>
        <charset val="1"/>
      </rPr>
      <t xml:space="preserve">' and GET it back</t>
    </r>
  </si>
  <si>
    <t xml:space="preserve">Identical value returned</t>
  </si>
  <si>
    <t xml:space="preserve">TC-ORD-023</t>
  </si>
  <si>
    <t xml:space="preserve">UI shows the correct total after creating an order</t>
  </si>
  <si>
    <t xml:space="preserve">Create 3 x 19.99 in the form</t>
  </si>
  <si>
    <t xml:space="preserve">Detail page shows $59.97 and status 'created'</t>
  </si>
  <si>
    <t xml:space="preserve">TC-ORD-024</t>
  </si>
  <si>
    <t xml:space="preserve">UI shows server validation errors</t>
  </si>
  <si>
    <t xml:space="preserve">Submit quantity 0 / a 101-char name</t>
  </si>
  <si>
    <t xml:space="preserve">Error list is displayed, no crash</t>
  </si>
  <si>
    <t xml:space="preserve">TC-ORD-025</t>
  </si>
  <si>
    <t xml:space="preserve">UI: add and remove item lines</t>
  </si>
  <si>
    <t xml:space="preserve">Add two lines, remove one, submit</t>
  </si>
  <si>
    <t xml:space="preserve">Order contains the remaining line</t>
  </si>
  <si>
    <t xml:space="preserve">TC-ORD-026</t>
  </si>
  <si>
    <t xml:space="preserve">R-08</t>
  </si>
  <si>
    <t xml:space="preserve">Read own order</t>
  </si>
  <si>
    <t xml:space="preserve">GET /orders/{id}</t>
  </si>
  <si>
    <t xml:space="preserve">200 with the order</t>
  </si>
  <si>
    <t xml:space="preserve">TC-ORD-027</t>
  </si>
  <si>
    <t xml:space="preserve">Unknown order id</t>
  </si>
  <si>
    <t xml:space="preserve">GET /orders/99999999</t>
  </si>
  <si>
    <t xml:space="preserve">404</t>
  </si>
  <si>
    <t xml:space="preserve">TC-ORD-028</t>
  </si>
  <si>
    <t xml:space="preserve">Non-numeric order id</t>
  </si>
  <si>
    <t xml:space="preserve">GET /orders/abc</t>
  </si>
  <si>
    <t xml:space="preserve">TC-ORD-029</t>
  </si>
  <si>
    <t xml:space="preserve">R-15</t>
  </si>
  <si>
    <t xml:space="preserve">Cannot read another user's order</t>
  </si>
  <si>
    <t xml:space="preserve">User B GETs user A's order</t>
  </si>
  <si>
    <t xml:space="preserve">403</t>
  </si>
  <si>
    <t xml:space="preserve">BUG-003</t>
  </si>
  <si>
    <t xml:space="preserve">TC-ORD-030</t>
  </si>
  <si>
    <t xml:space="preserve">R-10</t>
  </si>
  <si>
    <t xml:space="preserve">Edit the customer name of a created order</t>
  </si>
  <si>
    <t xml:space="preserve">PUT /orders/{id}</t>
  </si>
  <si>
    <t xml:space="preserve">200 with the new name</t>
  </si>
  <si>
    <t xml:space="preserve">TC-ORD-031</t>
  </si>
  <si>
    <t xml:space="preserve">Cannot edit another user's order</t>
  </si>
  <si>
    <t xml:space="preserve">User B PUTs user A's order</t>
  </si>
  <si>
    <t xml:space="preserve">TC-ORD-032</t>
  </si>
  <si>
    <t xml:space="preserve">Empty customer name rejected on edit</t>
  </si>
  <si>
    <t xml:space="preserve">PUT with an empty name</t>
  </si>
  <si>
    <t xml:space="preserve">TC-ORD-033</t>
  </si>
  <si>
    <t xml:space="preserve">Paid order cannot be edited</t>
  </si>
  <si>
    <t xml:space="preserve">Pay, then PUT</t>
  </si>
  <si>
    <t xml:space="preserve">409</t>
  </si>
  <si>
    <t xml:space="preserve">TC-ORD-034</t>
  </si>
  <si>
    <t xml:space="preserve">R-11</t>
  </si>
  <si>
    <t xml:space="preserve">Delete a created order</t>
  </si>
  <si>
    <t xml:space="preserve">DELETE /orders/{id}</t>
  </si>
  <si>
    <t xml:space="preserve">204</t>
  </si>
  <si>
    <t xml:space="preserve">TC-ORD-035</t>
  </si>
  <si>
    <t xml:space="preserve">Deleted order returns 404</t>
  </si>
  <si>
    <t xml:space="preserve">DELETE then GET</t>
  </si>
  <si>
    <t xml:space="preserve">TC-ORD-036</t>
  </si>
  <si>
    <t xml:space="preserve">Paid order cannot be deleted</t>
  </si>
  <si>
    <t xml:space="preserve">Pay, then DELETE</t>
  </si>
  <si>
    <t xml:space="preserve">TC-ORD-037</t>
  </si>
  <si>
    <t xml:space="preserve">Cannot delete another user's order</t>
  </si>
  <si>
    <t xml:space="preserve">User B DELETEs user A's order</t>
  </si>
  <si>
    <t xml:space="preserve">TC-LIST-001</t>
  </si>
  <si>
    <t xml:space="preserve">R-09</t>
  </si>
  <si>
    <t xml:space="preserve">Default pagination metadata</t>
  </si>
  <si>
    <t xml:space="preserve">GET /orders</t>
  </si>
  <si>
    <t xml:space="preserve">data array and meta page/per_page/total/last_page</t>
  </si>
  <si>
    <t xml:space="preserve">TC-LIST-002</t>
  </si>
  <si>
    <t xml:space="preserve">Pages never overlap</t>
  </si>
  <si>
    <t xml:space="preserve">Create 5 orders; read pages 1-3 with per_page=2</t>
  </si>
  <si>
    <t xml:space="preserve">5 distinct ids across the pages</t>
  </si>
  <si>
    <t xml:space="preserve">BUG-006</t>
  </si>
  <si>
    <t xml:space="preserve">TC-LIST-003</t>
  </si>
  <si>
    <t xml:space="preserve">Last page may be partial</t>
  </si>
  <si>
    <t xml:space="preserve">3 orders, per_page=2</t>
  </si>
  <si>
    <t xml:space="preserve">last_page 2; page 2 has 1 row</t>
  </si>
  <si>
    <t xml:space="preserve">TC-LIST-004</t>
  </si>
  <si>
    <t xml:space="preserve">Page beyond the last returns empty data</t>
  </si>
  <si>
    <t xml:space="preserve">GET page=99</t>
  </si>
  <si>
    <t xml:space="preserve">200 with data: []</t>
  </si>
  <si>
    <t xml:space="preserve">TC-LIST-005</t>
  </si>
  <si>
    <t xml:space="preserve">per_page is capped at 100</t>
  </si>
  <si>
    <t xml:space="preserve">GET per_page=5000</t>
  </si>
  <si>
    <t xml:space="preserve">meta.per_page = 100</t>
  </si>
  <si>
    <t xml:space="preserve">TC-LIST-006</t>
  </si>
  <si>
    <t xml:space="preserve">per_page=0 is clamped to 1</t>
  </si>
  <si>
    <t xml:space="preserve">GET per_page=0</t>
  </si>
  <si>
    <t xml:space="preserve">meta.per_page = 1</t>
  </si>
  <si>
    <t xml:space="preserve">TC-LIST-007</t>
  </si>
  <si>
    <t xml:space="preserve">Filter by status</t>
  </si>
  <si>
    <t xml:space="preserve">GET ?status=paid</t>
  </si>
  <si>
    <t xml:space="preserve">Only paid orders</t>
  </si>
  <si>
    <t xml:space="preserve">TC-LIST-008</t>
  </si>
  <si>
    <t xml:space="preserve">Newest order first</t>
  </si>
  <si>
    <t xml:space="preserve">Create two orders; list</t>
  </si>
  <si>
    <t xml:space="preserve">Higher id first</t>
  </si>
  <si>
    <t xml:space="preserve">TC-LIST-009</t>
  </si>
  <si>
    <t xml:space="preserve">User only sees their own orders</t>
  </si>
  <si>
    <t xml:space="preserve">User B lists orders</t>
  </si>
  <si>
    <t xml:space="preserve">meta.total = 0</t>
  </si>
  <si>
    <t xml:space="preserve">TC-LIST-010</t>
  </si>
  <si>
    <t xml:space="preserve">UI empty state</t>
  </si>
  <si>
    <t xml:space="preserve">Open the orders list for a new user</t>
  </si>
  <si>
    <t xml:space="preserve">'No orders yet.' is shown</t>
  </si>
  <si>
    <t xml:space="preserve">TC-LIST-011</t>
  </si>
  <si>
    <t xml:space="preserve">UI pagination with 12 orders</t>
  </si>
  <si>
    <t xml:space="preserve">Open page 1, press Next</t>
  </si>
  <si>
    <t xml:space="preserve">10 rows, then page 2 without repeated ids</t>
  </si>
  <si>
    <t xml:space="preserve">TC-FLOW-001</t>
  </si>
  <si>
    <t xml:space="preserve">R-12</t>
  </si>
  <si>
    <t xml:space="preserve">Happy path: create, pay, ship</t>
  </si>
  <si>
    <t xml:space="preserve">Create, POST /pay, POST /ship</t>
  </si>
  <si>
    <t xml:space="preserve">200, 200; statuses paid then shipped</t>
  </si>
  <si>
    <t xml:space="preserve">TC-FLOW-002</t>
  </si>
  <si>
    <t xml:space="preserve">Pay records a timestamp and one attempt</t>
  </si>
  <si>
    <t xml:space="preserve">Pay an order</t>
  </si>
  <si>
    <t xml:space="preserve">paid_at set; payment_attempts = 1</t>
  </si>
  <si>
    <t xml:space="preserve">TC-FLOW-003</t>
  </si>
  <si>
    <t xml:space="preserve">R-13</t>
  </si>
  <si>
    <t xml:space="preserve">Cannot ship before paying</t>
  </si>
  <si>
    <t xml:space="preserve">Ship a 'created' order</t>
  </si>
  <si>
    <t xml:space="preserve">BUG-005</t>
  </si>
  <si>
    <t xml:space="preserve">TC-FLOW-004</t>
  </si>
  <si>
    <t xml:space="preserve">Cannot pay twice</t>
  </si>
  <si>
    <t xml:space="preserve">Pay the same order twice</t>
  </si>
  <si>
    <t xml:space="preserve">Second call 409; payment_attempts stays 1</t>
  </si>
  <si>
    <t xml:space="preserve">BUG-004</t>
  </si>
  <si>
    <t xml:space="preserve">TC-FLOW-005</t>
  </si>
  <si>
    <t xml:space="preserve">R-14</t>
  </si>
  <si>
    <t xml:space="preserve">Cancel a created order</t>
  </si>
  <si>
    <t xml:space="preserve">POST /cancel on a created order</t>
  </si>
  <si>
    <t xml:space="preserve">200; status cancelled</t>
  </si>
  <si>
    <t xml:space="preserve">TC-FLOW-006</t>
  </si>
  <si>
    <t xml:space="preserve">Cancel a paid order</t>
  </si>
  <si>
    <t xml:space="preserve">Pay, then cancel</t>
  </si>
  <si>
    <t xml:space="preserve">TC-FLOW-007</t>
  </si>
  <si>
    <t xml:space="preserve">Cannot cancel a shipped order</t>
  </si>
  <si>
    <t xml:space="preserve">Pay, ship, cancel</t>
  </si>
  <si>
    <t xml:space="preserve">BUG-010</t>
  </si>
  <si>
    <t xml:space="preserve">TC-FLOW-008</t>
  </si>
  <si>
    <t xml:space="preserve">Cannot pay a cancelled order</t>
  </si>
  <si>
    <t xml:space="preserve">Cancel, then pay</t>
  </si>
  <si>
    <t xml:space="preserve">TC-FLOW-009</t>
  </si>
  <si>
    <t xml:space="preserve">Cannot ship a cancelled order</t>
  </si>
  <si>
    <t xml:space="preserve">Cancel, then ship</t>
  </si>
  <si>
    <t xml:space="preserve">TC-FLOW-010</t>
  </si>
  <si>
    <t xml:space="preserve">Cannot pay a shipped order</t>
  </si>
  <si>
    <t xml:space="preserve">Ship, then pay</t>
  </si>
  <si>
    <t xml:space="preserve">TC-FLOW-011</t>
  </si>
  <si>
    <t xml:space="preserve">Cannot pay another user's order</t>
  </si>
  <si>
    <t xml:space="preserve">User B pays user A's order</t>
  </si>
  <si>
    <t xml:space="preserve">TC-FLOW-012</t>
  </si>
  <si>
    <t xml:space="preserve">Cannot ship or cancel another user's order</t>
  </si>
  <si>
    <t xml:space="preserve">User B ships / cancels user A's order</t>
  </si>
  <si>
    <t xml:space="preserve">TC-FLOW-013</t>
  </si>
  <si>
    <t xml:space="preserve">UI: pay and ship an order</t>
  </si>
  <si>
    <t xml:space="preserve">Open an order; press Pay, then Ship</t>
  </si>
  <si>
    <t xml:space="preserve">Status badge: paid, then shipped; Ship/Cancel disappear</t>
  </si>
  <si>
    <t xml:space="preserve">TC-FLOW-014</t>
  </si>
  <si>
    <t xml:space="preserve">UI: cancel removes the actions</t>
  </si>
  <si>
    <t xml:space="preserve">Open an order; Cancel</t>
  </si>
  <si>
    <t xml:space="preserve">Status cancelled; Pay is gone</t>
  </si>
  <si>
    <t xml:space="preserve">TC-FLOW-015</t>
  </si>
  <si>
    <t xml:space="preserve">UI: action error is displayed</t>
  </si>
  <si>
    <t xml:space="preserve">Pay an order in another tab, then pay again here</t>
  </si>
  <si>
    <t xml:space="preserve">A role=alert error is shown</t>
  </si>
  <si>
    <t xml:space="preserve">TC-STAT-001</t>
  </si>
  <si>
    <t xml:space="preserve">R-16</t>
  </si>
  <si>
    <t xml:space="preserve">New user has all-zero stats</t>
  </si>
  <si>
    <t xml:space="preserve">GET /orders/stats for a new user</t>
  </si>
  <si>
    <t xml:space="preserve">All counts 0; revenue 0</t>
  </si>
  <si>
    <t xml:space="preserve">TC-STAT-002</t>
  </si>
  <si>
    <t xml:space="preserve">Counts per status</t>
  </si>
  <si>
    <t xml:space="preserve">Create orders in each state; GET stats</t>
  </si>
  <si>
    <t xml:space="preserve">by_status matches</t>
  </si>
  <si>
    <t xml:space="preserve">TC-STAT-003</t>
  </si>
  <si>
    <t xml:space="preserve">Revenue counts paid and shipped orders only</t>
  </si>
  <si>
    <t xml:space="preserve">Mixed orders</t>
  </si>
  <si>
    <t xml:space="preserve">revenue = paid + shipped totals</t>
  </si>
  <si>
    <t xml:space="preserve">TC-STAT-004</t>
  </si>
  <si>
    <t xml:space="preserve">Stats require authentication</t>
  </si>
  <si>
    <t xml:space="preserve">GET stats without token</t>
  </si>
  <si>
    <t xml:space="preserve">TC-STAT-005</t>
  </si>
  <si>
    <t xml:space="preserve">Stats are per user</t>
  </si>
  <si>
    <t xml:space="preserve">User B GETs stats</t>
  </si>
  <si>
    <t xml:space="preserve">User A's orders are not counted</t>
  </si>
  <si>
    <t xml:space="preserve">TC-A11Y-001</t>
  </si>
  <si>
    <t xml:space="preserve">R-18</t>
  </si>
  <si>
    <t xml:space="preserve">axe scan: login page</t>
  </si>
  <si>
    <t xml:space="preserve">Run cypress-axe (WCAG 2.1 A/AA) on /</t>
  </si>
  <si>
    <t xml:space="preserve">No violations</t>
  </si>
  <si>
    <t xml:space="preserve">BUG-011</t>
  </si>
  <si>
    <t xml:space="preserve">TC-A11Y-002</t>
  </si>
  <si>
    <t xml:space="preserve">axe scan: orders list</t>
  </si>
  <si>
    <t xml:space="preserve">Run axe on the orders list</t>
  </si>
  <si>
    <t xml:space="preserve">BUG-012</t>
  </si>
  <si>
    <t xml:space="preserve">TC-A11Y-003</t>
  </si>
  <si>
    <t xml:space="preserve">axe scan: new order form</t>
  </si>
  <si>
    <t xml:space="preserve">Run axe on the form</t>
  </si>
  <si>
    <t xml:space="preserve">TC-A11Y-004</t>
  </si>
  <si>
    <t xml:space="preserve">Keyboard: Pay is operable</t>
  </si>
  <si>
    <t xml:space="preserve">Tab to Pay; press Enter</t>
  </si>
  <si>
    <t xml:space="preserve">Pay is a focusable button and activates</t>
  </si>
  <si>
    <t xml:space="preserve">BUG-014</t>
  </si>
  <si>
    <t xml:space="preserve">TC-A11Y-005</t>
  </si>
  <si>
    <t xml:space="preserve">Keyboard-only end-to-end flow</t>
  </si>
  <si>
    <t xml:space="preserve">Complete register &gt; order &gt; pay with the keyboard only</t>
  </si>
  <si>
    <t xml:space="preserve">Every control reachable, visible focus, logical order</t>
  </si>
  <si>
    <t xml:space="preserve">TC-A11Y-006</t>
  </si>
  <si>
    <t xml:space="preserve">Screen reader announces errors</t>
  </si>
  <si>
    <t xml:space="preserve">With NVDA/VoiceOver submit invalid forms</t>
  </si>
  <si>
    <t xml:space="preserve">Errors announced via role=alert</t>
  </si>
  <si>
    <t xml:space="preserve">TC-A11Y-007</t>
  </si>
  <si>
    <t xml:space="preserve">Fields have accessible names</t>
  </si>
  <si>
    <t xml:space="preserve">Inspect inputs with a screen reader</t>
  </si>
  <si>
    <t xml:space="preserve">Each input has a label</t>
  </si>
  <si>
    <t xml:space="preserve">Cypress; Manual</t>
  </si>
  <si>
    <t xml:space="preserve">TC-A11Y-008</t>
  </si>
  <si>
    <t xml:space="preserve">Colour contrast &gt;= 4.5:1</t>
  </si>
  <si>
    <t xml:space="preserve">Measure text/background pairs</t>
  </si>
  <si>
    <t xml:space="preserve">All pass AA</t>
  </si>
  <si>
    <t xml:space="preserve">TC-A11Y-009</t>
  </si>
  <si>
    <t xml:space="preserve">Reflow at 320 CSS px / 400% zoom</t>
  </si>
  <si>
    <t xml:space="preserve">Zoom to 400% on the orders list</t>
  </si>
  <si>
    <t xml:space="preserve">No two-dimensional scrolling</t>
  </si>
  <si>
    <t xml:space="preserve">Playwright; Manual</t>
  </si>
  <si>
    <t xml:space="preserve">BUG-013</t>
  </si>
  <si>
    <t xml:space="preserve">TC-A11Y-010</t>
  </si>
  <si>
    <t xml:space="preserve">Focus indicator visible on every control</t>
  </si>
  <si>
    <t xml:space="preserve">Tab through every page</t>
  </si>
  <si>
    <t xml:space="preserve">A visible focus ring is always present</t>
  </si>
  <si>
    <t xml:space="preserve">TC-A11Y-011</t>
  </si>
  <si>
    <t xml:space="preserve">Touch targets &gt;= 24x24 CSS px</t>
  </si>
  <si>
    <t xml:space="preserve">Measure buttons on a phone</t>
  </si>
  <si>
    <t xml:space="preserve">All meet WCAG 2.2 AA 2.5.8</t>
  </si>
  <si>
    <t xml:space="preserve">Playwright</t>
  </si>
  <si>
    <t xml:space="preserve">TC-COMP-001</t>
  </si>
  <si>
    <t xml:space="preserve">R-17</t>
  </si>
  <si>
    <t xml:space="preserve">iPhone SE (375x667): no horizontal scroll</t>
  </si>
  <si>
    <t xml:space="preserve">Open the orders list at 375px</t>
  </si>
  <si>
    <t xml:space="preserve">scrollWidth &lt;= clientWidth</t>
  </si>
  <si>
    <t xml:space="preserve">TC-COMP-002</t>
  </si>
  <si>
    <t xml:space="preserve">iPhone 14 Pro Max (430x932)</t>
  </si>
  <si>
    <t xml:space="preserve">Open the orders list</t>
  </si>
  <si>
    <t xml:space="preserve">No horizontal scroll</t>
  </si>
  <si>
    <t xml:space="preserve">TC-COMP-003</t>
  </si>
  <si>
    <t xml:space="preserve">Galaxy S20 (360x800)</t>
  </si>
  <si>
    <t xml:space="preserve">TC-COMP-004</t>
  </si>
  <si>
    <t xml:space="preserve">iPad Mini (768x1024)</t>
  </si>
  <si>
    <t xml:space="preserve">TC-COMP-005</t>
  </si>
  <si>
    <t xml:space="preserve">Desktop (1440x900)</t>
  </si>
  <si>
    <t xml:space="preserve">Layout intact</t>
  </si>
  <si>
    <t xml:space="preserve">TC-COMP-006</t>
  </si>
  <si>
    <t xml:space="preserve">R-19</t>
  </si>
  <si>
    <t xml:space="preserve">Chrome: functional regression suite</t>
  </si>
  <si>
    <t xml:space="preserve">Run the Cypress suite in Chrome</t>
  </si>
  <si>
    <t xml:space="preserve">All specs pass</t>
  </si>
  <si>
    <t xml:space="preserve">Newman/CI</t>
  </si>
  <si>
    <t xml:space="preserve">TC-COMP-007</t>
  </si>
  <si>
    <t xml:space="preserve">Firefox: functional regression suite</t>
  </si>
  <si>
    <t xml:space="preserve">Run the Cypress suite in Firefox</t>
  </si>
  <si>
    <t xml:space="preserve">TC-COMP-008</t>
  </si>
  <si>
    <t xml:space="preserve">Edge: functional regression suite</t>
  </si>
  <si>
    <t xml:space="preserve">Run the Cypress suite in Edge</t>
  </si>
  <si>
    <t xml:space="preserve">TC-COMP-009</t>
  </si>
  <si>
    <t xml:space="preserve">Safari engine (WebKit) workflow</t>
  </si>
  <si>
    <t xml:space="preserve">Run the Playwright suite on WebKit</t>
  </si>
  <si>
    <t xml:space="preserve">TC-COMP-010</t>
  </si>
  <si>
    <t xml:space="preserve">iOS Safari (iPhone 13 emulation)</t>
  </si>
  <si>
    <t xml:space="preserve">Run Playwright with the iPhone 13 profile</t>
  </si>
  <si>
    <t xml:space="preserve">TC-COMP-011</t>
  </si>
  <si>
    <t xml:space="preserve">Android Chrome (Pixel 7 emulation)</t>
  </si>
  <si>
    <t xml:space="preserve">Run Playwright with the Pixel 7 profile</t>
  </si>
  <si>
    <t xml:space="preserve">TC-COMP-012</t>
  </si>
  <si>
    <t xml:space="preserve">Real iPhone (Safari)</t>
  </si>
  <si>
    <t xml:space="preserve">Run the smoke flow on a real device (BrowserStack)</t>
  </si>
  <si>
    <t xml:space="preserve">Flow completes</t>
  </si>
  <si>
    <t xml:space="preserve">TC-COMP-013</t>
  </si>
  <si>
    <t xml:space="preserve">Real Android phone (Chrome)</t>
  </si>
  <si>
    <t xml:space="preserve">Run the smoke flow on a real device</t>
  </si>
  <si>
    <t xml:space="preserve">TC-COMP-014</t>
  </si>
  <si>
    <t xml:space="preserve">Session survives a page reload</t>
  </si>
  <si>
    <t xml:space="preserve">Login, reload the page</t>
  </si>
  <si>
    <t xml:space="preserve">Still logged in</t>
  </si>
  <si>
    <t xml:space="preserve">TC-COMP-015</t>
  </si>
  <si>
    <t xml:space="preserve">After logout the back button shows no data</t>
  </si>
  <si>
    <t xml:space="preserve">Logout, press the browser Back button</t>
  </si>
  <si>
    <t xml:space="preserve">No order data is displayed</t>
  </si>
  <si>
    <t xml:space="preserve">TC-DB-001</t>
  </si>
  <si>
    <t xml:space="preserve">R-20</t>
  </si>
  <si>
    <t xml:space="preserve">Totals equal the sum of line items</t>
  </si>
  <si>
    <t xml:space="preserve">Run qa_validation.run_all</t>
  </si>
  <si>
    <t xml:space="preserve">No TOTAL_MATCHES_ITEMS rows</t>
  </si>
  <si>
    <t xml:space="preserve">PL/SQL</t>
  </si>
  <si>
    <t xml:space="preserve">TC-DB-002</t>
  </si>
  <si>
    <t xml:space="preserve">Quantities within 1..1000</t>
  </si>
  <si>
    <t xml:space="preserve">Run the package</t>
  </si>
  <si>
    <t xml:space="preserve">No QTY_POSITIVE rows</t>
  </si>
  <si>
    <t xml:space="preserve">TC-DB-003</t>
  </si>
  <si>
    <t xml:space="preserve">Each order is paid at most once</t>
  </si>
  <si>
    <t xml:space="preserve">No SINGLE_PAYMENT rows</t>
  </si>
  <si>
    <t xml:space="preserve">TC-DB-004</t>
  </si>
  <si>
    <t xml:space="preserve">Shipped orders have a payment timestamp</t>
  </si>
  <si>
    <t xml:space="preserve">No SHIPPED_WAS_PAID rows</t>
  </si>
  <si>
    <t xml:space="preserve">TC-DB-005</t>
  </si>
  <si>
    <t xml:space="preserve">Cancelled orders were never shipped</t>
  </si>
  <si>
    <t xml:space="preserve">No CANCELLED_NOT_SHIPPED rows</t>
  </si>
  <si>
    <t xml:space="preserve">TC-DB-006</t>
  </si>
  <si>
    <t xml:space="preserve">Status is one of the four allowed values</t>
  </si>
  <si>
    <t xml:space="preserve">No STATUS_VALID rows</t>
  </si>
  <si>
    <t xml:space="preserve">TC-DB-007</t>
  </si>
  <si>
    <t xml:space="preserve">Every order has at least one item</t>
  </si>
  <si>
    <t xml:space="preserve">No ORDER_HAS_ITEMS rows</t>
  </si>
  <si>
    <t xml:space="preserve">TC-DB-008</t>
  </si>
  <si>
    <t xml:space="preserve">Payment timestamps agree with status</t>
  </si>
  <si>
    <t xml:space="preserve">No PAYMENT_TIMESTAMP_CONSISTENT rows</t>
  </si>
  <si>
    <t xml:space="preserve">TC-DB-009</t>
  </si>
  <si>
    <t xml:space="preserve">Deleting an order cascades to its items (MySQL)</t>
  </si>
  <si>
    <t xml:space="preserve">Delete an order; query order_items</t>
  </si>
  <si>
    <t xml:space="preserve">No orphan item rows</t>
  </si>
  <si>
    <t xml:space="preserve">TC-CLOUD-001</t>
  </si>
  <si>
    <t xml:space="preserve">Deployed environment is reachable</t>
  </si>
  <si>
    <t xml:space="preserve">GET /api/health and open the UI on the AWS host</t>
  </si>
  <si>
    <t xml:space="preserve">200 ok; UI loads</t>
  </si>
  <si>
    <t xml:space="preserve">TC-CLOUD-002</t>
  </si>
  <si>
    <t xml:space="preserve">API suite against AWS</t>
  </si>
  <si>
    <t xml:space="preserve">Run Newman with baseUrl = the AWS API</t>
  </si>
  <si>
    <t xml:space="preserve">Same result as local</t>
  </si>
  <si>
    <t xml:space="preserve">TC-CLOUD-003</t>
  </si>
  <si>
    <t xml:space="preserve">UI suite against AWS (Chrome)</t>
  </si>
  <si>
    <t xml:space="preserve">Run Cypress with the AWS URLs</t>
  </si>
  <si>
    <t xml:space="preserve">Requirement</t>
  </si>
  <si>
    <t xml:space="preserve">Test cases</t>
  </si>
  <si>
    <t xml:space="preserve">Covered?</t>
  </si>
  <si>
    <t xml:space="preserve">Automated or partial</t>
  </si>
  <si>
    <t xml:space="preserve">User registration</t>
  </si>
  <si>
    <t xml:space="preserve">Password and profile field rules</t>
  </si>
  <si>
    <t xml:space="preserve">Login</t>
  </si>
  <si>
    <t xml:space="preserve">Token authentication and logout</t>
  </si>
  <si>
    <t xml:space="preserve">Create order</t>
  </si>
  <si>
    <t xml:space="preserve">Order input validation</t>
  </si>
  <si>
    <t xml:space="preserve">Order totals</t>
  </si>
  <si>
    <t xml:space="preserve">View order</t>
  </si>
  <si>
    <t xml:space="preserve">List orders and pagination</t>
  </si>
  <si>
    <t xml:space="preserve">Edit order</t>
  </si>
  <si>
    <t xml:space="preserve">Delete order</t>
  </si>
  <si>
    <t xml:space="preserve">Pay order</t>
  </si>
  <si>
    <t xml:space="preserve">Ship order</t>
  </si>
  <si>
    <t xml:space="preserve">Cancel order</t>
  </si>
  <si>
    <t xml:space="preserve">Per-user data isolation</t>
  </si>
  <si>
    <t xml:space="preserve">Order statistics</t>
  </si>
  <si>
    <t xml:space="preserve">Responsive UI</t>
  </si>
  <si>
    <t xml:space="preserve">Accessibility (WCAG 2.1 AA)</t>
  </si>
  <si>
    <t xml:space="preserve">Cross-browser / device support</t>
  </si>
  <si>
    <t xml:space="preserve">Stored data integrity</t>
  </si>
  <si>
    <t xml:space="preserve">Bug</t>
  </si>
  <si>
    <t xml:space="preserve">Summary</t>
  </si>
  <si>
    <t xml:space="preserve">Severity</t>
  </si>
  <si>
    <t xml:space="preserve">Linked test cases</t>
  </si>
  <si>
    <t xml:space="preserve">Detected by</t>
  </si>
  <si>
    <t xml:space="preserve">Registration accepts malformed e-mail addresses</t>
  </si>
  <si>
    <t xml:space="preserve">Major</t>
  </si>
  <si>
    <t xml:space="preserve">Postman: Register invalid email format; JUnit: AuthApiTest.registerRejectsInvalidEmail (5 cases); Cypress: auth.cy.ts invalid e-mail</t>
  </si>
  <si>
    <t xml:space="preserve">Order quantity not range-checked (0, negative and &gt;1000 accepted)</t>
  </si>
  <si>
    <t xml:space="preserve">API / DB</t>
  </si>
  <si>
    <t xml:space="preserve">Critical</t>
  </si>
  <si>
    <t xml:space="preserve">Postman: Quantity 0 / -5 / 1001; JUnit: OrderApiTest.invalidQuantity; Cypress: orders.cy.ts quantity 0; PL/SQL: QTY_POSITIVE</t>
  </si>
  <si>
    <t xml:space="preserve">Broken object-level authorization: any user can access any order (IDOR)</t>
  </si>
  <si>
    <t xml:space="preserve">Blocker</t>
  </si>
  <si>
    <t xml:space="preserve">Postman: User B cannot read/update/pay user A order; JUnit: OrderApiTest.isolationBetweenUsers</t>
  </si>
  <si>
    <t xml:space="preserve">Order can be paid more than once (double charge)</t>
  </si>
  <si>
    <t xml:space="preserve">Postman: Pay again; JUnit: WorkflowApiTest.cannotPayTwice; PL/SQL: SINGLE_PAYMENT</t>
  </si>
  <si>
    <t xml:space="preserve">Unpaid order can be shipped</t>
  </si>
  <si>
    <t xml:space="preserve">Postman: Ship before pay; JUnit: WorkflowApiTest.cannotShipUnpaid; PL/SQL: SHIPPED_WAS_PAID</t>
  </si>
  <si>
    <t xml:space="preserve">Pagination repeats the last row of the previous page</t>
  </si>
  <si>
    <t xml:space="preserve">API / UI</t>
  </si>
  <si>
    <t xml:space="preserve">Postman: Pagination page 2 overlap; JUnit: OrderApiTest.paginationHasNoOverlap; Cypress: orders.cy.ts pagination</t>
  </si>
  <si>
    <t xml:space="preserve">Silent 10% discount on lines with quantity &gt;= 10</t>
  </si>
  <si>
    <t xml:space="preserve">Postman: Bulk order no hidden discount; JUnit: OrderApiTest.noHiddenDiscount; Cypress: bulk total; PL/SQL: TOTAL_MATCHES_ITEMS</t>
  </si>
  <si>
    <t xml:space="preserve">Login reveals whether an e-mail is registered (user enumeration)</t>
  </si>
  <si>
    <t xml:space="preserve">Postman: Login unknown email; JUnit: AuthApiTest.loginDoesNotEnumerateUsers; Cypress: auth.cy.ts same message</t>
  </si>
  <si>
    <t xml:space="preserve">customer_name longer than 100 chars causes HTTP 500</t>
  </si>
  <si>
    <t xml:space="preserve">Postman: customer_name 101 chars; JUnit: OrderApiTest.customerNameLength; Cypress: 101-char name</t>
  </si>
  <si>
    <t xml:space="preserve">Shipped orders can be cancelled</t>
  </si>
  <si>
    <t xml:space="preserve">Postman: Cancel shipped order; JUnit: WorkflowApiTest.cannotCancelShipped; PL/SQL: CANCELLED_NOT_SHIPPED</t>
  </si>
  <si>
    <t xml:space="preserve">Login / register inputs have no accessible labels</t>
  </si>
  <si>
    <t xml:space="preserve">Cypress: accessibility.cy.ts login page</t>
  </si>
  <si>
    <t xml:space="preserve">Status badge text fails colour-contrast requirement</t>
  </si>
  <si>
    <t xml:space="preserve">Minor</t>
  </si>
  <si>
    <t xml:space="preserve">Cypress: accessibility.cy.ts orders list; Playwright: axe scan on mobile</t>
  </si>
  <si>
    <t xml:space="preserve">Orders table forces horizontal scrolling on small screens</t>
  </si>
  <si>
    <t xml:space="preserve">Cypress: responsive.cy.ts (4 small viewports); Playwright: iPhone / Pixel overflow test</t>
  </si>
  <si>
    <t xml:space="preserve">'Pay' action is a clickable &lt;div&gt;, not a button</t>
  </si>
  <si>
    <t xml:space="preserve">Cypress: workflow.cy.ts Pay is a button</t>
  </si>
  <si>
    <t xml:space="preserve">Failed login shows no feedback</t>
  </si>
  <si>
    <t xml:space="preserve">Cypress: auth.cy.ts wrong credentials; Playwright: login error on mobile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</si>
</sst>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4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39.7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COUNTA('Test Cases'!$A$2:$A$1000)</f>
        <v>129</v>
      </c>
    </row>
    <row r="6" customFormat="false" ht="15" hidden="false" customHeight="false" outlineLevel="0" collapsed="false">
      <c r="A6" s="4" t="s">
        <v>5</v>
      </c>
      <c r="B6" s="5" t="n">
        <f aca="false">COUNTIF('Test Cases'!$K$2:$K$1000,"Automated")</f>
        <v>98</v>
      </c>
    </row>
    <row r="7" customFormat="false" ht="15" hidden="false" customHeight="false" outlineLevel="0" collapsed="false">
      <c r="A7" s="4" t="s">
        <v>6</v>
      </c>
      <c r="B7" s="5" t="n">
        <f aca="false">COUNTIF('Test Cases'!$K$2:$K$1000,"Partial")</f>
        <v>4</v>
      </c>
    </row>
    <row r="8" customFormat="false" ht="15" hidden="false" customHeight="false" outlineLevel="0" collapsed="false">
      <c r="A8" s="4" t="s">
        <v>7</v>
      </c>
      <c r="B8" s="5" t="n">
        <f aca="false">COUNTIF('Test Cases'!$K$2:$K$1000,"Manual")</f>
        <v>27</v>
      </c>
    </row>
    <row r="9" customFormat="false" ht="15" hidden="false" customHeight="false" outlineLevel="0" collapsed="false">
      <c r="A9" s="4" t="s">
        <v>8</v>
      </c>
      <c r="B9" s="6" t="n">
        <f aca="false">IFERROR((B6+B7)/B5,0)</f>
        <v>0.790697674418605</v>
      </c>
    </row>
    <row r="10" customFormat="false" ht="15" hidden="false" customHeight="false" outlineLevel="0" collapsed="false">
      <c r="A10" s="4" t="s">
        <v>9</v>
      </c>
      <c r="B10" s="6" t="n">
        <f aca="false">IFERROR(COUNTIF(Requirements!$D$2:$D$21,"Yes")/COUNTA(Requirements!$A$2:$A$21),0)</f>
        <v>1</v>
      </c>
    </row>
    <row r="11" customFormat="false" ht="15" hidden="false" customHeight="false" outlineLevel="0" collapsed="false">
      <c r="A11" s="4" t="s">
        <v>10</v>
      </c>
      <c r="B11" s="5" t="n">
        <f aca="false">COUNTIF('Seeded Bugs'!$E$2:$E$16,"&gt;0")</f>
        <v>15</v>
      </c>
    </row>
    <row r="12" customFormat="false" ht="15" hidden="false" customHeight="false" outlineLevel="0" collapsed="false">
      <c r="A12" s="4" t="s">
        <v>11</v>
      </c>
      <c r="B12" s="5" t="n">
        <f aca="false">COUNTIF('Test Cases'!$M$2:$M$1000,"Pass")+COUNTIF('Test Cases'!$M$2:$M$1000,"Fail")+COUNTIF('Test Cases'!$M$2:$M$1000,"Blocked")</f>
        <v>0</v>
      </c>
    </row>
    <row r="13" customFormat="false" ht="15" hidden="false" customHeight="false" outlineLevel="0" collapsed="false">
      <c r="A13" s="4" t="s">
        <v>12</v>
      </c>
      <c r="B13" s="6" t="n">
        <f aca="false">IFERROR(COUNTIF('Test Cases'!$M$2:$M$1000,"Pass")/B12,0)</f>
        <v>0</v>
      </c>
    </row>
    <row r="15" customFormat="false" ht="15" hidden="false" customHeight="false" outlineLevel="0" collapsed="false">
      <c r="A15" s="3" t="s">
        <v>13</v>
      </c>
      <c r="B15" s="3" t="s">
        <v>14</v>
      </c>
      <c r="C15" s="3" t="s">
        <v>15</v>
      </c>
    </row>
    <row r="16" customFormat="false" ht="15" hidden="false" customHeight="false" outlineLevel="0" collapsed="false">
      <c r="A16" s="4" t="s">
        <v>16</v>
      </c>
      <c r="B16" s="4" t="n">
        <f aca="false">COUNTIF('Test Cases'!$E$2:$E$1000,A16)</f>
        <v>47</v>
      </c>
      <c r="C16" s="6" t="n">
        <f aca="false">IFERROR(B16/$B$5,0)</f>
        <v>0.364341085271318</v>
      </c>
    </row>
    <row r="17" customFormat="false" ht="15" hidden="false" customHeight="false" outlineLevel="0" collapsed="false">
      <c r="A17" s="4" t="s">
        <v>17</v>
      </c>
      <c r="B17" s="4" t="n">
        <f aca="false">COUNTIF('Test Cases'!$E$2:$E$1000,A17)</f>
        <v>14</v>
      </c>
      <c r="C17" s="6" t="n">
        <f aca="false">IFERROR(B17/$B$5,0)</f>
        <v>0.108527131782946</v>
      </c>
    </row>
    <row r="18" customFormat="false" ht="15" hidden="false" customHeight="false" outlineLevel="0" collapsed="false">
      <c r="A18" s="4" t="s">
        <v>18</v>
      </c>
      <c r="B18" s="4" t="n">
        <f aca="false">COUNTIF('Test Cases'!$E$2:$E$1000,A18)</f>
        <v>15</v>
      </c>
      <c r="C18" s="6" t="n">
        <f aca="false">IFERROR(B18/$B$5,0)</f>
        <v>0.116279069767442</v>
      </c>
    </row>
    <row r="19" customFormat="false" ht="15" hidden="false" customHeight="false" outlineLevel="0" collapsed="false">
      <c r="A19" s="4" t="s">
        <v>19</v>
      </c>
      <c r="B19" s="4" t="n">
        <f aca="false">COUNTIF('Test Cases'!$E$2:$E$1000,A19)</f>
        <v>4</v>
      </c>
      <c r="C19" s="6" t="n">
        <f aca="false">IFERROR(B19/$B$5,0)</f>
        <v>0.0310077519379845</v>
      </c>
    </row>
    <row r="20" customFormat="false" ht="15" hidden="false" customHeight="false" outlineLevel="0" collapsed="false">
      <c r="A20" s="4" t="s">
        <v>20</v>
      </c>
      <c r="B20" s="4" t="n">
        <f aca="false">COUNTIF('Test Cases'!$E$2:$E$1000,A20)</f>
        <v>13</v>
      </c>
      <c r="C20" s="6" t="n">
        <f aca="false">IFERROR(B20/$B$5,0)</f>
        <v>0.10077519379845</v>
      </c>
    </row>
    <row r="21" customFormat="false" ht="15" hidden="false" customHeight="false" outlineLevel="0" collapsed="false">
      <c r="A21" s="4" t="s">
        <v>21</v>
      </c>
      <c r="B21" s="4" t="n">
        <f aca="false">COUNTIF('Test Cases'!$E$2:$E$1000,A21)</f>
        <v>16</v>
      </c>
      <c r="C21" s="6" t="n">
        <f aca="false">IFERROR(B21/$B$5,0)</f>
        <v>0.124031007751938</v>
      </c>
    </row>
    <row r="22" customFormat="false" ht="15" hidden="false" customHeight="false" outlineLevel="0" collapsed="false">
      <c r="A22" s="4" t="s">
        <v>22</v>
      </c>
      <c r="B22" s="4" t="n">
        <f aca="false">COUNTIF('Test Cases'!$E$2:$E$1000,A22)</f>
        <v>11</v>
      </c>
      <c r="C22" s="6" t="n">
        <f aca="false">IFERROR(B22/$B$5,0)</f>
        <v>0.0852713178294574</v>
      </c>
    </row>
    <row r="23" customFormat="false" ht="15" hidden="false" customHeight="false" outlineLevel="0" collapsed="false">
      <c r="A23" s="4" t="s">
        <v>23</v>
      </c>
      <c r="B23" s="4" t="n">
        <f aca="false">COUNTIF('Test Cases'!$E$2:$E$1000,A23)</f>
        <v>9</v>
      </c>
      <c r="C23" s="6" t="n">
        <f aca="false">IFERROR(B23/$B$5,0)</f>
        <v>0.0697674418604651</v>
      </c>
    </row>
    <row r="25" customFormat="false" ht="15" hidden="false" customHeight="false" outlineLevel="0" collapsed="false">
      <c r="A25" s="3" t="s">
        <v>24</v>
      </c>
      <c r="B25" s="3" t="s">
        <v>14</v>
      </c>
      <c r="C25" s="3" t="s">
        <v>15</v>
      </c>
    </row>
    <row r="26" customFormat="false" ht="15" hidden="false" customHeight="false" outlineLevel="0" collapsed="false">
      <c r="A26" s="4" t="s">
        <v>16</v>
      </c>
      <c r="B26" s="4" t="n">
        <f aca="false">COUNTIF('Test Cases'!$F$2:$F$1000,A26)</f>
        <v>82</v>
      </c>
      <c r="C26" s="6" t="n">
        <f aca="false">IFERROR(B26/$B$5,0)</f>
        <v>0.635658914728682</v>
      </c>
    </row>
    <row r="27" customFormat="false" ht="15" hidden="false" customHeight="false" outlineLevel="0" collapsed="false">
      <c r="A27" s="4" t="s">
        <v>25</v>
      </c>
      <c r="B27" s="4" t="n">
        <f aca="false">COUNTIF('Test Cases'!$F$2:$F$1000,A27)</f>
        <v>38</v>
      </c>
      <c r="C27" s="6" t="n">
        <f aca="false">IFERROR(B27/$B$5,0)</f>
        <v>0.294573643410853</v>
      </c>
    </row>
    <row r="28" customFormat="false" ht="15" hidden="false" customHeight="false" outlineLevel="0" collapsed="false">
      <c r="A28" s="4" t="s">
        <v>26</v>
      </c>
      <c r="B28" s="4" t="n">
        <f aca="false">COUNTIF('Test Cases'!$F$2:$F$1000,A28)</f>
        <v>9</v>
      </c>
      <c r="C28" s="6" t="n">
        <f aca="false">IFERROR(B28/$B$5,0)</f>
        <v>0.0697674418604651</v>
      </c>
    </row>
    <row r="30" customFormat="false" ht="15" hidden="false" customHeight="false" outlineLevel="0" collapsed="false">
      <c r="A30" s="3" t="s">
        <v>27</v>
      </c>
      <c r="B30" s="3" t="s">
        <v>14</v>
      </c>
      <c r="C30" s="3" t="s">
        <v>15</v>
      </c>
    </row>
    <row r="31" customFormat="false" ht="15" hidden="false" customHeight="false" outlineLevel="0" collapsed="false">
      <c r="A31" s="4" t="s">
        <v>28</v>
      </c>
      <c r="B31" s="4" t="n">
        <f aca="false">COUNTIF('Test Cases'!$G$2:$G$1000,A31)</f>
        <v>38</v>
      </c>
      <c r="C31" s="6" t="n">
        <f aca="false">IFERROR(B31/$B$5,0)</f>
        <v>0.294573643410853</v>
      </c>
    </row>
    <row r="32" customFormat="false" ht="15" hidden="false" customHeight="false" outlineLevel="0" collapsed="false">
      <c r="A32" s="4" t="s">
        <v>29</v>
      </c>
      <c r="B32" s="4" t="n">
        <f aca="false">COUNTIF('Test Cases'!$G$2:$G$1000,A32)</f>
        <v>56</v>
      </c>
      <c r="C32" s="6" t="n">
        <f aca="false">IFERROR(B32/$B$5,0)</f>
        <v>0.434108527131783</v>
      </c>
    </row>
    <row r="33" customFormat="false" ht="15" hidden="false" customHeight="false" outlineLevel="0" collapsed="false">
      <c r="A33" s="4" t="s">
        <v>30</v>
      </c>
      <c r="B33" s="4" t="n">
        <f aca="false">COUNTIF('Test Cases'!$G$2:$G$1000,A33)</f>
        <v>32</v>
      </c>
      <c r="C33" s="6" t="n">
        <f aca="false">IFERROR(B33/$B$5,0)</f>
        <v>0.248062015503876</v>
      </c>
    </row>
    <row r="34" customFormat="false" ht="15" hidden="false" customHeight="false" outlineLevel="0" collapsed="false">
      <c r="A34" s="4" t="s">
        <v>31</v>
      </c>
      <c r="B34" s="4" t="n">
        <f aca="false">COUNTIF('Test Cases'!$G$2:$G$1000,A34)</f>
        <v>3</v>
      </c>
      <c r="C34" s="6" t="n">
        <f aca="false">IFERROR(B34/$B$5,0)</f>
        <v>0.0232558139534884</v>
      </c>
    </row>
    <row r="36" customFormat="false" ht="15" hidden="false" customHeight="false" outlineLevel="0" collapsed="false">
      <c r="A36" s="3" t="s">
        <v>32</v>
      </c>
      <c r="B36" s="3" t="s">
        <v>14</v>
      </c>
      <c r="C36" s="3" t="s">
        <v>15</v>
      </c>
    </row>
    <row r="37" customFormat="false" ht="15" hidden="false" customHeight="false" outlineLevel="0" collapsed="false">
      <c r="A37" s="4" t="s">
        <v>33</v>
      </c>
      <c r="B37" s="4" t="n">
        <f aca="false">COUNTIF('Test Cases'!$B$2:$B$1000,A37)</f>
        <v>23</v>
      </c>
      <c r="C37" s="6" t="n">
        <f aca="false">IFERROR(B37/$B$5,0)</f>
        <v>0.178294573643411</v>
      </c>
    </row>
    <row r="38" customFormat="false" ht="15" hidden="false" customHeight="false" outlineLevel="0" collapsed="false">
      <c r="A38" s="4" t="s">
        <v>34</v>
      </c>
      <c r="B38" s="4" t="n">
        <f aca="false">COUNTIF('Test Cases'!$B$2:$B$1000,A38)</f>
        <v>37</v>
      </c>
      <c r="C38" s="6" t="n">
        <f aca="false">IFERROR(B38/$B$5,0)</f>
        <v>0.286821705426357</v>
      </c>
    </row>
    <row r="39" customFormat="false" ht="15" hidden="false" customHeight="false" outlineLevel="0" collapsed="false">
      <c r="A39" s="4" t="s">
        <v>35</v>
      </c>
      <c r="B39" s="4" t="n">
        <f aca="false">COUNTIF('Test Cases'!$B$2:$B$1000,A39)</f>
        <v>11</v>
      </c>
      <c r="C39" s="6" t="n">
        <f aca="false">IFERROR(B39/$B$5,0)</f>
        <v>0.0852713178294574</v>
      </c>
    </row>
    <row r="40" customFormat="false" ht="15" hidden="false" customHeight="false" outlineLevel="0" collapsed="false">
      <c r="A40" s="4" t="s">
        <v>36</v>
      </c>
      <c r="B40" s="4" t="n">
        <f aca="false">COUNTIF('Test Cases'!$B$2:$B$1000,A40)</f>
        <v>15</v>
      </c>
      <c r="C40" s="6" t="n">
        <f aca="false">IFERROR(B40/$B$5,0)</f>
        <v>0.116279069767442</v>
      </c>
    </row>
    <row r="41" customFormat="false" ht="15" hidden="false" customHeight="false" outlineLevel="0" collapsed="false">
      <c r="A41" s="4" t="s">
        <v>37</v>
      </c>
      <c r="B41" s="4" t="n">
        <f aca="false">COUNTIF('Test Cases'!$B$2:$B$1000,A41)</f>
        <v>5</v>
      </c>
      <c r="C41" s="6" t="n">
        <f aca="false">IFERROR(B41/$B$5,0)</f>
        <v>0.0387596899224806</v>
      </c>
    </row>
    <row r="42" customFormat="false" ht="15" hidden="false" customHeight="false" outlineLevel="0" collapsed="false">
      <c r="A42" s="4" t="s">
        <v>38</v>
      </c>
      <c r="B42" s="4" t="n">
        <f aca="false">COUNTIF('Test Cases'!$B$2:$B$1000,A42)</f>
        <v>11</v>
      </c>
      <c r="C42" s="6" t="n">
        <f aca="false">IFERROR(B42/$B$5,0)</f>
        <v>0.0852713178294574</v>
      </c>
    </row>
    <row r="43" customFormat="false" ht="15" hidden="false" customHeight="false" outlineLevel="0" collapsed="false">
      <c r="A43" s="4" t="s">
        <v>39</v>
      </c>
      <c r="B43" s="4" t="n">
        <f aca="false">COUNTIF('Test Cases'!$B$2:$B$1000,A43)</f>
        <v>15</v>
      </c>
      <c r="C43" s="6" t="n">
        <f aca="false">IFERROR(B43/$B$5,0)</f>
        <v>0.116279069767442</v>
      </c>
    </row>
    <row r="44" customFormat="false" ht="15" hidden="false" customHeight="false" outlineLevel="0" collapsed="false">
      <c r="A44" s="4" t="s">
        <v>26</v>
      </c>
      <c r="B44" s="4" t="n">
        <f aca="false">COUNTIF('Test Cases'!$B$2:$B$1000,A44)</f>
        <v>9</v>
      </c>
      <c r="C44" s="6" t="n">
        <f aca="false">IFERROR(B44/$B$5,0)</f>
        <v>0.0697674418604651</v>
      </c>
    </row>
    <row r="45" customFormat="false" ht="15" hidden="false" customHeight="false" outlineLevel="0" collapsed="false">
      <c r="A45" s="4" t="s">
        <v>40</v>
      </c>
      <c r="B45" s="4" t="n">
        <f aca="false">COUNTIF('Test Cases'!$B$2:$B$1000,A45)</f>
        <v>3</v>
      </c>
      <c r="C45" s="6" t="n">
        <f aca="false">IFERROR(B45/$B$5,0)</f>
        <v>0.0232558139534884</v>
      </c>
    </row>
    <row r="47" customFormat="false" ht="15" hidden="false" customHeight="false" outlineLevel="0" collapsed="false">
      <c r="A47" s="3" t="s">
        <v>41</v>
      </c>
      <c r="B47" s="3" t="s">
        <v>14</v>
      </c>
      <c r="C47" s="3" t="s">
        <v>15</v>
      </c>
    </row>
    <row r="48" customFormat="false" ht="15" hidden="false" customHeight="false" outlineLevel="0" collapsed="false">
      <c r="A48" s="4" t="s">
        <v>42</v>
      </c>
      <c r="B48" s="4" t="n">
        <f aca="false">COUNTIF('Test Cases'!$M$2:$M$1000,A48)</f>
        <v>129</v>
      </c>
      <c r="C48" s="6" t="n">
        <f aca="false">IFERROR(B48/$B$5,0)</f>
        <v>1</v>
      </c>
    </row>
    <row r="49" customFormat="false" ht="15" hidden="false" customHeight="false" outlineLevel="0" collapsed="false">
      <c r="A49" s="4" t="s">
        <v>43</v>
      </c>
      <c r="B49" s="4" t="n">
        <f aca="false">COUNTIF('Test Cases'!$M$2:$M$1000,A49)</f>
        <v>0</v>
      </c>
      <c r="C49" s="6" t="n">
        <f aca="false">IFERROR(B49/$B$5,0)</f>
        <v>0</v>
      </c>
    </row>
    <row r="50" customFormat="false" ht="15" hidden="false" customHeight="false" outlineLevel="0" collapsed="false">
      <c r="A50" s="4" t="s">
        <v>44</v>
      </c>
      <c r="B50" s="4" t="n">
        <f aca="false">COUNTIF('Test Cases'!$M$2:$M$1000,A50)</f>
        <v>0</v>
      </c>
      <c r="C50" s="6" t="n">
        <f aca="false">IFERROR(B50/$B$5,0)</f>
        <v>0</v>
      </c>
    </row>
    <row r="51" customFormat="false" ht="15" hidden="false" customHeight="false" outlineLevel="0" collapsed="false">
      <c r="A51" s="4" t="s">
        <v>45</v>
      </c>
      <c r="B51" s="4" t="n">
        <f aca="false">COUNTIF('Test Cases'!$M$2:$M$1000,A51)</f>
        <v>0</v>
      </c>
      <c r="C51" s="6" t="n">
        <f aca="false">IFERROR(B51/$B$5,0)</f>
        <v>0</v>
      </c>
    </row>
    <row r="53" customFormat="false" ht="15" hidden="false" customHeight="false" outlineLevel="0" collapsed="false">
      <c r="A53" s="7" t="s">
        <v>46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44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48"/>
    <col collapsed="false" customWidth="true" hidden="false" outlineLevel="0" max="9" min="9" style="0" width="42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3" min="12" style="0" width="11"/>
    <col collapsed="false" customWidth="true" hidden="false" outlineLevel="0" max="14" min="14" style="0" width="28"/>
  </cols>
  <sheetData>
    <row r="1" customFormat="false" ht="23.85" hidden="false" customHeight="false" outlineLevel="0" collapsed="false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</row>
    <row r="2" customFormat="false" ht="23.85" hidden="false" customHeight="false" outlineLevel="0" collapsed="false">
      <c r="A2" s="8" t="s">
        <v>61</v>
      </c>
      <c r="B2" s="8" t="s">
        <v>33</v>
      </c>
      <c r="C2" s="8" t="s">
        <v>62</v>
      </c>
      <c r="D2" s="8" t="s">
        <v>63</v>
      </c>
      <c r="E2" s="8" t="s">
        <v>16</v>
      </c>
      <c r="F2" s="8" t="s">
        <v>16</v>
      </c>
      <c r="G2" s="8" t="s">
        <v>28</v>
      </c>
      <c r="H2" s="8" t="s">
        <v>64</v>
      </c>
      <c r="I2" s="8" t="s">
        <v>65</v>
      </c>
      <c r="J2" s="8" t="s">
        <v>66</v>
      </c>
      <c r="K2" s="8" t="s">
        <v>67</v>
      </c>
      <c r="L2" s="8"/>
      <c r="M2" s="9" t="s">
        <v>42</v>
      </c>
      <c r="N2" s="9"/>
    </row>
    <row r="3" customFormat="false" ht="23.85" hidden="false" customHeight="false" outlineLevel="0" collapsed="false">
      <c r="A3" s="8" t="s">
        <v>68</v>
      </c>
      <c r="B3" s="8" t="s">
        <v>33</v>
      </c>
      <c r="C3" s="8" t="s">
        <v>62</v>
      </c>
      <c r="D3" s="8" t="s">
        <v>69</v>
      </c>
      <c r="E3" s="8" t="s">
        <v>21</v>
      </c>
      <c r="F3" s="8" t="s">
        <v>16</v>
      </c>
      <c r="G3" s="8" t="s">
        <v>29</v>
      </c>
      <c r="H3" s="8" t="s">
        <v>70</v>
      </c>
      <c r="I3" s="8" t="s">
        <v>71</v>
      </c>
      <c r="J3" s="8" t="s">
        <v>66</v>
      </c>
      <c r="K3" s="8" t="s">
        <v>67</v>
      </c>
      <c r="L3" s="8"/>
      <c r="M3" s="9" t="s">
        <v>42</v>
      </c>
      <c r="N3" s="9"/>
    </row>
    <row r="4" customFormat="false" ht="23.85" hidden="false" customHeight="false" outlineLevel="0" collapsed="false">
      <c r="A4" s="8" t="s">
        <v>72</v>
      </c>
      <c r="B4" s="8" t="s">
        <v>33</v>
      </c>
      <c r="C4" s="8" t="s">
        <v>62</v>
      </c>
      <c r="D4" s="8" t="s">
        <v>73</v>
      </c>
      <c r="E4" s="8" t="s">
        <v>16</v>
      </c>
      <c r="F4" s="8" t="s">
        <v>16</v>
      </c>
      <c r="G4" s="8" t="s">
        <v>29</v>
      </c>
      <c r="H4" s="8" t="s">
        <v>74</v>
      </c>
      <c r="I4" s="8" t="s">
        <v>75</v>
      </c>
      <c r="J4" s="8" t="s">
        <v>66</v>
      </c>
      <c r="K4" s="8" t="s">
        <v>67</v>
      </c>
      <c r="L4" s="8"/>
      <c r="M4" s="9" t="s">
        <v>42</v>
      </c>
      <c r="N4" s="9"/>
    </row>
    <row r="5" customFormat="false" ht="35.05" hidden="false" customHeight="false" outlineLevel="0" collapsed="false">
      <c r="A5" s="8" t="s">
        <v>76</v>
      </c>
      <c r="B5" s="8" t="s">
        <v>33</v>
      </c>
      <c r="C5" s="8" t="s">
        <v>62</v>
      </c>
      <c r="D5" s="8" t="s">
        <v>77</v>
      </c>
      <c r="E5" s="8" t="s">
        <v>16</v>
      </c>
      <c r="F5" s="8" t="s">
        <v>16</v>
      </c>
      <c r="G5" s="8" t="s">
        <v>29</v>
      </c>
      <c r="H5" s="8" t="s">
        <v>78</v>
      </c>
      <c r="I5" s="8" t="s">
        <v>79</v>
      </c>
      <c r="J5" s="8" t="s">
        <v>80</v>
      </c>
      <c r="K5" s="8" t="s">
        <v>67</v>
      </c>
      <c r="L5" s="8" t="s">
        <v>81</v>
      </c>
      <c r="M5" s="9" t="s">
        <v>42</v>
      </c>
      <c r="N5" s="9"/>
    </row>
    <row r="6" customFormat="false" ht="23.85" hidden="false" customHeight="false" outlineLevel="0" collapsed="false">
      <c r="A6" s="8" t="s">
        <v>82</v>
      </c>
      <c r="B6" s="8" t="s">
        <v>33</v>
      </c>
      <c r="C6" s="8" t="s">
        <v>62</v>
      </c>
      <c r="D6" s="8" t="s">
        <v>83</v>
      </c>
      <c r="E6" s="8" t="s">
        <v>16</v>
      </c>
      <c r="F6" s="8" t="s">
        <v>16</v>
      </c>
      <c r="G6" s="8" t="s">
        <v>29</v>
      </c>
      <c r="H6" s="8" t="s">
        <v>84</v>
      </c>
      <c r="I6" s="8" t="s">
        <v>85</v>
      </c>
      <c r="J6" s="8" t="s">
        <v>86</v>
      </c>
      <c r="K6" s="8" t="s">
        <v>67</v>
      </c>
      <c r="L6" s="8"/>
      <c r="M6" s="9" t="s">
        <v>42</v>
      </c>
      <c r="N6" s="9"/>
    </row>
    <row r="7" customFormat="false" ht="23.85" hidden="false" customHeight="false" outlineLevel="0" collapsed="false">
      <c r="A7" s="8" t="s">
        <v>87</v>
      </c>
      <c r="B7" s="8" t="s">
        <v>33</v>
      </c>
      <c r="C7" s="8" t="s">
        <v>62</v>
      </c>
      <c r="D7" s="8" t="s">
        <v>88</v>
      </c>
      <c r="E7" s="8" t="s">
        <v>17</v>
      </c>
      <c r="F7" s="8" t="s">
        <v>16</v>
      </c>
      <c r="G7" s="8" t="s">
        <v>30</v>
      </c>
      <c r="H7" s="8" t="s">
        <v>89</v>
      </c>
      <c r="I7" s="8" t="s">
        <v>90</v>
      </c>
      <c r="J7" s="8" t="s">
        <v>91</v>
      </c>
      <c r="K7" s="8" t="s">
        <v>91</v>
      </c>
      <c r="L7" s="8"/>
      <c r="M7" s="9" t="s">
        <v>42</v>
      </c>
      <c r="N7" s="9"/>
    </row>
    <row r="8" customFormat="false" ht="23.85" hidden="false" customHeight="false" outlineLevel="0" collapsed="false">
      <c r="A8" s="8" t="s">
        <v>92</v>
      </c>
      <c r="B8" s="8" t="s">
        <v>33</v>
      </c>
      <c r="C8" s="8" t="s">
        <v>93</v>
      </c>
      <c r="D8" s="8" t="s">
        <v>94</v>
      </c>
      <c r="E8" s="8" t="s">
        <v>16</v>
      </c>
      <c r="F8" s="8" t="s">
        <v>16</v>
      </c>
      <c r="G8" s="8" t="s">
        <v>29</v>
      </c>
      <c r="H8" s="8" t="s">
        <v>95</v>
      </c>
      <c r="I8" s="8" t="s">
        <v>96</v>
      </c>
      <c r="J8" s="8" t="s">
        <v>66</v>
      </c>
      <c r="K8" s="8" t="s">
        <v>67</v>
      </c>
      <c r="L8" s="8"/>
      <c r="M8" s="9" t="s">
        <v>42</v>
      </c>
      <c r="N8" s="9"/>
    </row>
    <row r="9" customFormat="false" ht="23.85" hidden="false" customHeight="false" outlineLevel="0" collapsed="false">
      <c r="A9" s="8" t="s">
        <v>97</v>
      </c>
      <c r="B9" s="8" t="s">
        <v>33</v>
      </c>
      <c r="C9" s="8" t="s">
        <v>93</v>
      </c>
      <c r="D9" s="8" t="s">
        <v>98</v>
      </c>
      <c r="E9" s="8" t="s">
        <v>16</v>
      </c>
      <c r="F9" s="8" t="s">
        <v>16</v>
      </c>
      <c r="G9" s="8" t="s">
        <v>29</v>
      </c>
      <c r="H9" s="8" t="s">
        <v>99</v>
      </c>
      <c r="I9" s="8" t="s">
        <v>90</v>
      </c>
      <c r="J9" s="8" t="s">
        <v>66</v>
      </c>
      <c r="K9" s="8" t="s">
        <v>67</v>
      </c>
      <c r="L9" s="8"/>
      <c r="M9" s="9" t="s">
        <v>42</v>
      </c>
      <c r="N9" s="9"/>
    </row>
    <row r="10" customFormat="false" ht="23.85" hidden="false" customHeight="false" outlineLevel="0" collapsed="false">
      <c r="A10" s="8" t="s">
        <v>100</v>
      </c>
      <c r="B10" s="8" t="s">
        <v>33</v>
      </c>
      <c r="C10" s="8" t="s">
        <v>93</v>
      </c>
      <c r="D10" s="8" t="s">
        <v>101</v>
      </c>
      <c r="E10" s="8" t="s">
        <v>16</v>
      </c>
      <c r="F10" s="8" t="s">
        <v>16</v>
      </c>
      <c r="G10" s="8" t="s">
        <v>30</v>
      </c>
      <c r="H10" s="8" t="s">
        <v>102</v>
      </c>
      <c r="I10" s="8" t="s">
        <v>103</v>
      </c>
      <c r="J10" s="8" t="s">
        <v>91</v>
      </c>
      <c r="K10" s="8" t="s">
        <v>91</v>
      </c>
      <c r="L10" s="8"/>
      <c r="M10" s="9" t="s">
        <v>42</v>
      </c>
      <c r="N10" s="9"/>
    </row>
    <row r="11" customFormat="false" ht="23.85" hidden="false" customHeight="false" outlineLevel="0" collapsed="false">
      <c r="A11" s="8" t="s">
        <v>104</v>
      </c>
      <c r="B11" s="8" t="s">
        <v>33</v>
      </c>
      <c r="C11" s="8" t="s">
        <v>93</v>
      </c>
      <c r="D11" s="8" t="s">
        <v>105</v>
      </c>
      <c r="E11" s="8" t="s">
        <v>16</v>
      </c>
      <c r="F11" s="8" t="s">
        <v>16</v>
      </c>
      <c r="G11" s="8" t="s">
        <v>30</v>
      </c>
      <c r="H11" s="8" t="s">
        <v>106</v>
      </c>
      <c r="I11" s="8" t="s">
        <v>103</v>
      </c>
      <c r="J11" s="8" t="s">
        <v>91</v>
      </c>
      <c r="K11" s="8" t="s">
        <v>91</v>
      </c>
      <c r="L11" s="8"/>
      <c r="M11" s="9" t="s">
        <v>42</v>
      </c>
      <c r="N11" s="9"/>
    </row>
    <row r="12" customFormat="false" ht="23.85" hidden="false" customHeight="false" outlineLevel="0" collapsed="false">
      <c r="A12" s="8" t="s">
        <v>107</v>
      </c>
      <c r="B12" s="8" t="s">
        <v>33</v>
      </c>
      <c r="C12" s="8" t="s">
        <v>108</v>
      </c>
      <c r="D12" s="8" t="s">
        <v>109</v>
      </c>
      <c r="E12" s="8" t="s">
        <v>16</v>
      </c>
      <c r="F12" s="8" t="s">
        <v>16</v>
      </c>
      <c r="G12" s="8" t="s">
        <v>28</v>
      </c>
      <c r="H12" s="8" t="s">
        <v>110</v>
      </c>
      <c r="I12" s="8" t="s">
        <v>111</v>
      </c>
      <c r="J12" s="8" t="s">
        <v>66</v>
      </c>
      <c r="K12" s="8" t="s">
        <v>67</v>
      </c>
      <c r="L12" s="8"/>
      <c r="M12" s="9" t="s">
        <v>42</v>
      </c>
      <c r="N12" s="9"/>
    </row>
    <row r="13" customFormat="false" ht="23.85" hidden="false" customHeight="false" outlineLevel="0" collapsed="false">
      <c r="A13" s="8" t="s">
        <v>112</v>
      </c>
      <c r="B13" s="8" t="s">
        <v>33</v>
      </c>
      <c r="C13" s="8" t="s">
        <v>108</v>
      </c>
      <c r="D13" s="8" t="s">
        <v>113</v>
      </c>
      <c r="E13" s="8" t="s">
        <v>16</v>
      </c>
      <c r="F13" s="8" t="s">
        <v>16</v>
      </c>
      <c r="G13" s="8" t="s">
        <v>28</v>
      </c>
      <c r="H13" s="8" t="s">
        <v>114</v>
      </c>
      <c r="I13" s="8" t="s">
        <v>115</v>
      </c>
      <c r="J13" s="8" t="s">
        <v>86</v>
      </c>
      <c r="K13" s="8" t="s">
        <v>67</v>
      </c>
      <c r="L13" s="8"/>
      <c r="M13" s="9" t="s">
        <v>42</v>
      </c>
      <c r="N13" s="9"/>
    </row>
    <row r="14" customFormat="false" ht="23.85" hidden="false" customHeight="false" outlineLevel="0" collapsed="false">
      <c r="A14" s="8" t="s">
        <v>116</v>
      </c>
      <c r="B14" s="8" t="s">
        <v>33</v>
      </c>
      <c r="C14" s="8" t="s">
        <v>108</v>
      </c>
      <c r="D14" s="8" t="s">
        <v>117</v>
      </c>
      <c r="E14" s="8" t="s">
        <v>21</v>
      </c>
      <c r="F14" s="8" t="s">
        <v>16</v>
      </c>
      <c r="G14" s="8" t="s">
        <v>29</v>
      </c>
      <c r="H14" s="8" t="s">
        <v>118</v>
      </c>
      <c r="I14" s="8" t="s">
        <v>119</v>
      </c>
      <c r="J14" s="8" t="s">
        <v>80</v>
      </c>
      <c r="K14" s="8" t="s">
        <v>67</v>
      </c>
      <c r="L14" s="8" t="s">
        <v>120</v>
      </c>
      <c r="M14" s="9" t="s">
        <v>42</v>
      </c>
      <c r="N14" s="9"/>
    </row>
    <row r="15" customFormat="false" ht="23.85" hidden="false" customHeight="false" outlineLevel="0" collapsed="false">
      <c r="A15" s="8" t="s">
        <v>121</v>
      </c>
      <c r="B15" s="8" t="s">
        <v>33</v>
      </c>
      <c r="C15" s="8" t="s">
        <v>108</v>
      </c>
      <c r="D15" s="8" t="s">
        <v>122</v>
      </c>
      <c r="E15" s="8" t="s">
        <v>16</v>
      </c>
      <c r="F15" s="8" t="s">
        <v>16</v>
      </c>
      <c r="G15" s="8" t="s">
        <v>30</v>
      </c>
      <c r="H15" s="8" t="s">
        <v>123</v>
      </c>
      <c r="I15" s="8" t="s">
        <v>96</v>
      </c>
      <c r="J15" s="8" t="s">
        <v>86</v>
      </c>
      <c r="K15" s="8" t="s">
        <v>67</v>
      </c>
      <c r="L15" s="8"/>
      <c r="M15" s="9" t="s">
        <v>42</v>
      </c>
      <c r="N15" s="9"/>
    </row>
    <row r="16" customFormat="false" ht="23.85" hidden="false" customHeight="false" outlineLevel="0" collapsed="false">
      <c r="A16" s="8" t="s">
        <v>124</v>
      </c>
      <c r="B16" s="8" t="s">
        <v>33</v>
      </c>
      <c r="C16" s="8" t="s">
        <v>108</v>
      </c>
      <c r="D16" s="8" t="s">
        <v>125</v>
      </c>
      <c r="E16" s="8" t="s">
        <v>21</v>
      </c>
      <c r="F16" s="8" t="s">
        <v>16</v>
      </c>
      <c r="G16" s="8" t="s">
        <v>29</v>
      </c>
      <c r="H16" s="8" t="s">
        <v>126</v>
      </c>
      <c r="I16" s="8" t="s">
        <v>127</v>
      </c>
      <c r="J16" s="8" t="s">
        <v>86</v>
      </c>
      <c r="K16" s="8" t="s">
        <v>67</v>
      </c>
      <c r="L16" s="8"/>
      <c r="M16" s="9" t="s">
        <v>42</v>
      </c>
      <c r="N16" s="9"/>
    </row>
    <row r="17" customFormat="false" ht="23.85" hidden="false" customHeight="false" outlineLevel="0" collapsed="false">
      <c r="A17" s="8" t="s">
        <v>128</v>
      </c>
      <c r="B17" s="8" t="s">
        <v>33</v>
      </c>
      <c r="C17" s="8" t="s">
        <v>108</v>
      </c>
      <c r="D17" s="8" t="s">
        <v>129</v>
      </c>
      <c r="E17" s="8" t="s">
        <v>17</v>
      </c>
      <c r="F17" s="8" t="s">
        <v>25</v>
      </c>
      <c r="G17" s="8" t="s">
        <v>29</v>
      </c>
      <c r="H17" s="8" t="s">
        <v>130</v>
      </c>
      <c r="I17" s="8" t="s">
        <v>131</v>
      </c>
      <c r="J17" s="8" t="s">
        <v>132</v>
      </c>
      <c r="K17" s="8" t="s">
        <v>67</v>
      </c>
      <c r="L17" s="8" t="s">
        <v>133</v>
      </c>
      <c r="M17" s="9" t="s">
        <v>42</v>
      </c>
      <c r="N17" s="9"/>
    </row>
    <row r="18" customFormat="false" ht="23.85" hidden="false" customHeight="false" outlineLevel="0" collapsed="false">
      <c r="A18" s="8" t="s">
        <v>134</v>
      </c>
      <c r="B18" s="8" t="s">
        <v>33</v>
      </c>
      <c r="C18" s="8" t="s">
        <v>135</v>
      </c>
      <c r="D18" s="8" t="s">
        <v>136</v>
      </c>
      <c r="E18" s="8" t="s">
        <v>16</v>
      </c>
      <c r="F18" s="8" t="s">
        <v>16</v>
      </c>
      <c r="G18" s="8" t="s">
        <v>28</v>
      </c>
      <c r="H18" s="8" t="s">
        <v>137</v>
      </c>
      <c r="I18" s="8" t="s">
        <v>138</v>
      </c>
      <c r="J18" s="8" t="s">
        <v>66</v>
      </c>
      <c r="K18" s="8" t="s">
        <v>67</v>
      </c>
      <c r="L18" s="8"/>
      <c r="M18" s="9" t="s">
        <v>42</v>
      </c>
      <c r="N18" s="9"/>
    </row>
    <row r="19" customFormat="false" ht="23.85" hidden="false" customHeight="false" outlineLevel="0" collapsed="false">
      <c r="A19" s="8" t="s">
        <v>139</v>
      </c>
      <c r="B19" s="8" t="s">
        <v>33</v>
      </c>
      <c r="C19" s="8" t="s">
        <v>135</v>
      </c>
      <c r="D19" s="8" t="s">
        <v>140</v>
      </c>
      <c r="E19" s="8" t="s">
        <v>21</v>
      </c>
      <c r="F19" s="8" t="s">
        <v>16</v>
      </c>
      <c r="G19" s="8" t="s">
        <v>28</v>
      </c>
      <c r="H19" s="8" t="s">
        <v>141</v>
      </c>
      <c r="I19" s="8" t="s">
        <v>142</v>
      </c>
      <c r="J19" s="8" t="s">
        <v>66</v>
      </c>
      <c r="K19" s="8" t="s">
        <v>67</v>
      </c>
      <c r="L19" s="8"/>
      <c r="M19" s="9" t="s">
        <v>42</v>
      </c>
      <c r="N19" s="9"/>
    </row>
    <row r="20" customFormat="false" ht="23.85" hidden="false" customHeight="false" outlineLevel="0" collapsed="false">
      <c r="A20" s="8" t="s">
        <v>143</v>
      </c>
      <c r="B20" s="8" t="s">
        <v>33</v>
      </c>
      <c r="C20" s="8" t="s">
        <v>135</v>
      </c>
      <c r="D20" s="8" t="s">
        <v>144</v>
      </c>
      <c r="E20" s="8" t="s">
        <v>21</v>
      </c>
      <c r="F20" s="8" t="s">
        <v>16</v>
      </c>
      <c r="G20" s="8" t="s">
        <v>29</v>
      </c>
      <c r="H20" s="8" t="s">
        <v>145</v>
      </c>
      <c r="I20" s="8" t="s">
        <v>142</v>
      </c>
      <c r="J20" s="8" t="s">
        <v>66</v>
      </c>
      <c r="K20" s="8" t="s">
        <v>67</v>
      </c>
      <c r="L20" s="8"/>
      <c r="M20" s="9" t="s">
        <v>42</v>
      </c>
      <c r="N20" s="9"/>
    </row>
    <row r="21" customFormat="false" ht="23.85" hidden="false" customHeight="false" outlineLevel="0" collapsed="false">
      <c r="A21" s="8" t="s">
        <v>146</v>
      </c>
      <c r="B21" s="8" t="s">
        <v>33</v>
      </c>
      <c r="C21" s="8" t="s">
        <v>135</v>
      </c>
      <c r="D21" s="8" t="s">
        <v>147</v>
      </c>
      <c r="E21" s="8" t="s">
        <v>18</v>
      </c>
      <c r="F21" s="8" t="s">
        <v>16</v>
      </c>
      <c r="G21" s="8" t="s">
        <v>28</v>
      </c>
      <c r="H21" s="8" t="s">
        <v>148</v>
      </c>
      <c r="I21" s="8" t="s">
        <v>149</v>
      </c>
      <c r="J21" s="8" t="s">
        <v>66</v>
      </c>
      <c r="K21" s="8" t="s">
        <v>67</v>
      </c>
      <c r="L21" s="8"/>
      <c r="M21" s="9" t="s">
        <v>42</v>
      </c>
      <c r="N21" s="9"/>
    </row>
    <row r="22" customFormat="false" ht="23.85" hidden="false" customHeight="false" outlineLevel="0" collapsed="false">
      <c r="A22" s="8" t="s">
        <v>150</v>
      </c>
      <c r="B22" s="8" t="s">
        <v>33</v>
      </c>
      <c r="C22" s="8" t="s">
        <v>135</v>
      </c>
      <c r="D22" s="8" t="s">
        <v>151</v>
      </c>
      <c r="E22" s="8" t="s">
        <v>18</v>
      </c>
      <c r="F22" s="8" t="s">
        <v>16</v>
      </c>
      <c r="G22" s="8" t="s">
        <v>30</v>
      </c>
      <c r="H22" s="8" t="s">
        <v>152</v>
      </c>
      <c r="I22" s="8" t="s">
        <v>153</v>
      </c>
      <c r="J22" s="8" t="s">
        <v>91</v>
      </c>
      <c r="K22" s="8" t="s">
        <v>91</v>
      </c>
      <c r="L22" s="8"/>
      <c r="M22" s="9" t="s">
        <v>42</v>
      </c>
      <c r="N22" s="9"/>
    </row>
    <row r="23" customFormat="false" ht="23.85" hidden="false" customHeight="false" outlineLevel="0" collapsed="false">
      <c r="A23" s="8" t="s">
        <v>154</v>
      </c>
      <c r="B23" s="8" t="s">
        <v>33</v>
      </c>
      <c r="C23" s="8" t="s">
        <v>135</v>
      </c>
      <c r="D23" s="8" t="s">
        <v>155</v>
      </c>
      <c r="E23" s="8" t="s">
        <v>17</v>
      </c>
      <c r="F23" s="8" t="s">
        <v>25</v>
      </c>
      <c r="G23" s="8" t="s">
        <v>28</v>
      </c>
      <c r="H23" s="8" t="s">
        <v>156</v>
      </c>
      <c r="I23" s="8" t="s">
        <v>157</v>
      </c>
      <c r="J23" s="8" t="s">
        <v>158</v>
      </c>
      <c r="K23" s="8" t="s">
        <v>67</v>
      </c>
      <c r="L23" s="8"/>
      <c r="M23" s="9" t="s">
        <v>42</v>
      </c>
      <c r="N23" s="9"/>
    </row>
    <row r="24" customFormat="false" ht="23.85" hidden="false" customHeight="false" outlineLevel="0" collapsed="false">
      <c r="A24" s="8" t="s">
        <v>159</v>
      </c>
      <c r="B24" s="8" t="s">
        <v>33</v>
      </c>
      <c r="C24" s="8" t="s">
        <v>135</v>
      </c>
      <c r="D24" s="8" t="s">
        <v>160</v>
      </c>
      <c r="E24" s="8" t="s">
        <v>17</v>
      </c>
      <c r="F24" s="8" t="s">
        <v>25</v>
      </c>
      <c r="G24" s="8" t="s">
        <v>28</v>
      </c>
      <c r="H24" s="8" t="s">
        <v>161</v>
      </c>
      <c r="I24" s="8" t="s">
        <v>162</v>
      </c>
      <c r="J24" s="8" t="s">
        <v>158</v>
      </c>
      <c r="K24" s="8" t="s">
        <v>67</v>
      </c>
      <c r="L24" s="8"/>
      <c r="M24" s="9" t="s">
        <v>42</v>
      </c>
      <c r="N24" s="9"/>
    </row>
    <row r="25" customFormat="false" ht="15" hidden="false" customHeight="false" outlineLevel="0" collapsed="false">
      <c r="A25" s="8" t="s">
        <v>163</v>
      </c>
      <c r="B25" s="8" t="s">
        <v>34</v>
      </c>
      <c r="C25" s="8" t="s">
        <v>164</v>
      </c>
      <c r="D25" s="8" t="s">
        <v>165</v>
      </c>
      <c r="E25" s="8" t="s">
        <v>16</v>
      </c>
      <c r="F25" s="8" t="s">
        <v>16</v>
      </c>
      <c r="G25" s="8" t="s">
        <v>28</v>
      </c>
      <c r="H25" s="8" t="s">
        <v>166</v>
      </c>
      <c r="I25" s="8" t="s">
        <v>167</v>
      </c>
      <c r="J25" s="8" t="s">
        <v>66</v>
      </c>
      <c r="K25" s="8" t="s">
        <v>67</v>
      </c>
      <c r="L25" s="8"/>
      <c r="M25" s="9" t="s">
        <v>42</v>
      </c>
      <c r="N25" s="9"/>
    </row>
    <row r="26" customFormat="false" ht="15" hidden="false" customHeight="false" outlineLevel="0" collapsed="false">
      <c r="A26" s="8" t="s">
        <v>168</v>
      </c>
      <c r="B26" s="8" t="s">
        <v>34</v>
      </c>
      <c r="C26" s="8" t="s">
        <v>169</v>
      </c>
      <c r="D26" s="8" t="s">
        <v>170</v>
      </c>
      <c r="E26" s="8" t="s">
        <v>16</v>
      </c>
      <c r="F26" s="8" t="s">
        <v>16</v>
      </c>
      <c r="G26" s="8" t="s">
        <v>28</v>
      </c>
      <c r="H26" s="8" t="s">
        <v>171</v>
      </c>
      <c r="I26" s="8" t="s">
        <v>172</v>
      </c>
      <c r="J26" s="8" t="s">
        <v>66</v>
      </c>
      <c r="K26" s="8" t="s">
        <v>67</v>
      </c>
      <c r="L26" s="8"/>
      <c r="M26" s="9" t="s">
        <v>42</v>
      </c>
      <c r="N26" s="9"/>
    </row>
    <row r="27" customFormat="false" ht="15" hidden="false" customHeight="false" outlineLevel="0" collapsed="false">
      <c r="A27" s="8" t="s">
        <v>173</v>
      </c>
      <c r="B27" s="8" t="s">
        <v>34</v>
      </c>
      <c r="C27" s="8" t="s">
        <v>169</v>
      </c>
      <c r="D27" s="8" t="s">
        <v>174</v>
      </c>
      <c r="E27" s="8" t="s">
        <v>16</v>
      </c>
      <c r="F27" s="8" t="s">
        <v>16</v>
      </c>
      <c r="G27" s="8" t="s">
        <v>30</v>
      </c>
      <c r="H27" s="8" t="s">
        <v>175</v>
      </c>
      <c r="I27" s="8" t="s">
        <v>176</v>
      </c>
      <c r="J27" s="8" t="s">
        <v>91</v>
      </c>
      <c r="K27" s="8" t="s">
        <v>91</v>
      </c>
      <c r="L27" s="8"/>
      <c r="M27" s="9" t="s">
        <v>42</v>
      </c>
      <c r="N27" s="9"/>
    </row>
    <row r="28" customFormat="false" ht="23.85" hidden="false" customHeight="false" outlineLevel="0" collapsed="false">
      <c r="A28" s="8" t="s">
        <v>177</v>
      </c>
      <c r="B28" s="8" t="s">
        <v>34</v>
      </c>
      <c r="C28" s="8" t="s">
        <v>169</v>
      </c>
      <c r="D28" s="8" t="s">
        <v>178</v>
      </c>
      <c r="E28" s="8" t="s">
        <v>16</v>
      </c>
      <c r="F28" s="8" t="s">
        <v>16</v>
      </c>
      <c r="G28" s="8" t="s">
        <v>28</v>
      </c>
      <c r="H28" s="8" t="s">
        <v>179</v>
      </c>
      <c r="I28" s="8" t="s">
        <v>180</v>
      </c>
      <c r="J28" s="8" t="s">
        <v>181</v>
      </c>
      <c r="K28" s="8" t="s">
        <v>67</v>
      </c>
      <c r="L28" s="8" t="s">
        <v>182</v>
      </c>
      <c r="M28" s="9" t="s">
        <v>42</v>
      </c>
      <c r="N28" s="9"/>
    </row>
    <row r="29" customFormat="false" ht="23.85" hidden="false" customHeight="false" outlineLevel="0" collapsed="false">
      <c r="A29" s="8" t="s">
        <v>183</v>
      </c>
      <c r="B29" s="8" t="s">
        <v>34</v>
      </c>
      <c r="C29" s="8" t="s">
        <v>184</v>
      </c>
      <c r="D29" s="8" t="s">
        <v>185</v>
      </c>
      <c r="E29" s="8" t="s">
        <v>16</v>
      </c>
      <c r="F29" s="8" t="s">
        <v>16</v>
      </c>
      <c r="G29" s="8" t="s">
        <v>28</v>
      </c>
      <c r="H29" s="8" t="s">
        <v>186</v>
      </c>
      <c r="I29" s="8" t="s">
        <v>96</v>
      </c>
      <c r="J29" s="8" t="s">
        <v>181</v>
      </c>
      <c r="K29" s="8" t="s">
        <v>67</v>
      </c>
      <c r="L29" s="8" t="s">
        <v>187</v>
      </c>
      <c r="M29" s="9" t="s">
        <v>42</v>
      </c>
      <c r="N29" s="9"/>
    </row>
    <row r="30" customFormat="false" ht="23.85" hidden="false" customHeight="false" outlineLevel="0" collapsed="false">
      <c r="A30" s="8" t="s">
        <v>188</v>
      </c>
      <c r="B30" s="8" t="s">
        <v>34</v>
      </c>
      <c r="C30" s="8" t="s">
        <v>184</v>
      </c>
      <c r="D30" s="8" t="s">
        <v>189</v>
      </c>
      <c r="E30" s="8" t="s">
        <v>16</v>
      </c>
      <c r="F30" s="8" t="s">
        <v>16</v>
      </c>
      <c r="G30" s="8" t="s">
        <v>28</v>
      </c>
      <c r="H30" s="8" t="s">
        <v>190</v>
      </c>
      <c r="I30" s="8" t="s">
        <v>96</v>
      </c>
      <c r="J30" s="8" t="s">
        <v>191</v>
      </c>
      <c r="K30" s="8" t="s">
        <v>67</v>
      </c>
      <c r="L30" s="8" t="s">
        <v>187</v>
      </c>
      <c r="M30" s="9" t="s">
        <v>42</v>
      </c>
      <c r="N30" s="9"/>
    </row>
    <row r="31" customFormat="false" ht="15" hidden="false" customHeight="false" outlineLevel="0" collapsed="false">
      <c r="A31" s="8" t="s">
        <v>192</v>
      </c>
      <c r="B31" s="8" t="s">
        <v>34</v>
      </c>
      <c r="C31" s="8" t="s">
        <v>184</v>
      </c>
      <c r="D31" s="8" t="s">
        <v>193</v>
      </c>
      <c r="E31" s="8" t="s">
        <v>16</v>
      </c>
      <c r="F31" s="8" t="s">
        <v>16</v>
      </c>
      <c r="G31" s="8" t="s">
        <v>29</v>
      </c>
      <c r="H31" s="8" t="s">
        <v>194</v>
      </c>
      <c r="I31" s="8" t="s">
        <v>90</v>
      </c>
      <c r="J31" s="8" t="s">
        <v>195</v>
      </c>
      <c r="K31" s="8" t="s">
        <v>67</v>
      </c>
      <c r="L31" s="8"/>
      <c r="M31" s="9" t="s">
        <v>42</v>
      </c>
      <c r="N31" s="9"/>
    </row>
    <row r="32" customFormat="false" ht="15" hidden="false" customHeight="false" outlineLevel="0" collapsed="false">
      <c r="A32" s="8" t="s">
        <v>196</v>
      </c>
      <c r="B32" s="8" t="s">
        <v>34</v>
      </c>
      <c r="C32" s="8" t="s">
        <v>184</v>
      </c>
      <c r="D32" s="8" t="s">
        <v>197</v>
      </c>
      <c r="E32" s="8" t="s">
        <v>16</v>
      </c>
      <c r="F32" s="8" t="s">
        <v>16</v>
      </c>
      <c r="G32" s="8" t="s">
        <v>29</v>
      </c>
      <c r="H32" s="8" t="s">
        <v>198</v>
      </c>
      <c r="I32" s="8" t="s">
        <v>90</v>
      </c>
      <c r="J32" s="8" t="s">
        <v>66</v>
      </c>
      <c r="K32" s="8" t="s">
        <v>67</v>
      </c>
      <c r="L32" s="8"/>
      <c r="M32" s="9" t="s">
        <v>42</v>
      </c>
      <c r="N32" s="9"/>
    </row>
    <row r="33" customFormat="false" ht="15" hidden="false" customHeight="false" outlineLevel="0" collapsed="false">
      <c r="A33" s="8" t="s">
        <v>199</v>
      </c>
      <c r="B33" s="8" t="s">
        <v>34</v>
      </c>
      <c r="C33" s="8" t="s">
        <v>184</v>
      </c>
      <c r="D33" s="8" t="s">
        <v>200</v>
      </c>
      <c r="E33" s="8" t="s">
        <v>16</v>
      </c>
      <c r="F33" s="8" t="s">
        <v>16</v>
      </c>
      <c r="G33" s="8" t="s">
        <v>29</v>
      </c>
      <c r="H33" s="8" t="s">
        <v>201</v>
      </c>
      <c r="I33" s="8" t="s">
        <v>96</v>
      </c>
      <c r="J33" s="8" t="s">
        <v>66</v>
      </c>
      <c r="K33" s="8" t="s">
        <v>67</v>
      </c>
      <c r="L33" s="8" t="s">
        <v>187</v>
      </c>
      <c r="M33" s="9" t="s">
        <v>42</v>
      </c>
      <c r="N33" s="9"/>
    </row>
    <row r="34" customFormat="false" ht="15" hidden="false" customHeight="false" outlineLevel="0" collapsed="false">
      <c r="A34" s="8" t="s">
        <v>202</v>
      </c>
      <c r="B34" s="8" t="s">
        <v>34</v>
      </c>
      <c r="C34" s="8" t="s">
        <v>184</v>
      </c>
      <c r="D34" s="8" t="s">
        <v>203</v>
      </c>
      <c r="E34" s="8" t="s">
        <v>16</v>
      </c>
      <c r="F34" s="8" t="s">
        <v>16</v>
      </c>
      <c r="G34" s="8" t="s">
        <v>30</v>
      </c>
      <c r="H34" s="8" t="s">
        <v>204</v>
      </c>
      <c r="I34" s="8" t="s">
        <v>96</v>
      </c>
      <c r="J34" s="8" t="s">
        <v>91</v>
      </c>
      <c r="K34" s="8" t="s">
        <v>91</v>
      </c>
      <c r="L34" s="8"/>
      <c r="M34" s="9" t="s">
        <v>42</v>
      </c>
      <c r="N34" s="9"/>
    </row>
    <row r="35" customFormat="false" ht="15" hidden="false" customHeight="false" outlineLevel="0" collapsed="false">
      <c r="A35" s="8" t="s">
        <v>205</v>
      </c>
      <c r="B35" s="8" t="s">
        <v>34</v>
      </c>
      <c r="C35" s="8" t="s">
        <v>184</v>
      </c>
      <c r="D35" s="8" t="s">
        <v>206</v>
      </c>
      <c r="E35" s="8" t="s">
        <v>16</v>
      </c>
      <c r="F35" s="8" t="s">
        <v>16</v>
      </c>
      <c r="G35" s="8" t="s">
        <v>30</v>
      </c>
      <c r="H35" s="8" t="s">
        <v>207</v>
      </c>
      <c r="I35" s="8" t="s">
        <v>96</v>
      </c>
      <c r="J35" s="8" t="s">
        <v>86</v>
      </c>
      <c r="K35" s="8" t="s">
        <v>67</v>
      </c>
      <c r="L35" s="8"/>
      <c r="M35" s="9" t="s">
        <v>42</v>
      </c>
      <c r="N35" s="9"/>
    </row>
    <row r="36" customFormat="false" ht="15" hidden="false" customHeight="false" outlineLevel="0" collapsed="false">
      <c r="A36" s="8" t="s">
        <v>208</v>
      </c>
      <c r="B36" s="8" t="s">
        <v>34</v>
      </c>
      <c r="C36" s="8" t="s">
        <v>184</v>
      </c>
      <c r="D36" s="8" t="s">
        <v>209</v>
      </c>
      <c r="E36" s="8" t="s">
        <v>16</v>
      </c>
      <c r="F36" s="8" t="s">
        <v>16</v>
      </c>
      <c r="G36" s="8" t="s">
        <v>29</v>
      </c>
      <c r="H36" s="8" t="s">
        <v>210</v>
      </c>
      <c r="I36" s="8" t="s">
        <v>96</v>
      </c>
      <c r="J36" s="8" t="s">
        <v>86</v>
      </c>
      <c r="K36" s="8" t="s">
        <v>67</v>
      </c>
      <c r="L36" s="8"/>
      <c r="M36" s="9" t="s">
        <v>42</v>
      </c>
      <c r="N36" s="9"/>
    </row>
    <row r="37" customFormat="false" ht="15" hidden="false" customHeight="false" outlineLevel="0" collapsed="false">
      <c r="A37" s="8" t="s">
        <v>211</v>
      </c>
      <c r="B37" s="8" t="s">
        <v>34</v>
      </c>
      <c r="C37" s="8" t="s">
        <v>184</v>
      </c>
      <c r="D37" s="8" t="s">
        <v>212</v>
      </c>
      <c r="E37" s="8" t="s">
        <v>16</v>
      </c>
      <c r="F37" s="8" t="s">
        <v>16</v>
      </c>
      <c r="G37" s="8" t="s">
        <v>30</v>
      </c>
      <c r="H37" s="8" t="s">
        <v>213</v>
      </c>
      <c r="I37" s="8" t="s">
        <v>90</v>
      </c>
      <c r="J37" s="8" t="s">
        <v>86</v>
      </c>
      <c r="K37" s="8" t="s">
        <v>67</v>
      </c>
      <c r="L37" s="8"/>
      <c r="M37" s="9" t="s">
        <v>42</v>
      </c>
      <c r="N37" s="9"/>
    </row>
    <row r="38" customFormat="false" ht="15" hidden="false" customHeight="false" outlineLevel="0" collapsed="false">
      <c r="A38" s="8" t="s">
        <v>214</v>
      </c>
      <c r="B38" s="8" t="s">
        <v>34</v>
      </c>
      <c r="C38" s="8" t="s">
        <v>184</v>
      </c>
      <c r="D38" s="8" t="s">
        <v>215</v>
      </c>
      <c r="E38" s="8" t="s">
        <v>16</v>
      </c>
      <c r="F38" s="8" t="s">
        <v>16</v>
      </c>
      <c r="G38" s="8" t="s">
        <v>30</v>
      </c>
      <c r="H38" s="8" t="s">
        <v>216</v>
      </c>
      <c r="I38" s="8" t="s">
        <v>103</v>
      </c>
      <c r="J38" s="8" t="s">
        <v>91</v>
      </c>
      <c r="K38" s="8" t="s">
        <v>91</v>
      </c>
      <c r="L38" s="8"/>
      <c r="M38" s="9" t="s">
        <v>42</v>
      </c>
      <c r="N38" s="9"/>
    </row>
    <row r="39" customFormat="false" ht="15" hidden="false" customHeight="false" outlineLevel="0" collapsed="false">
      <c r="A39" s="8" t="s">
        <v>217</v>
      </c>
      <c r="B39" s="8" t="s">
        <v>34</v>
      </c>
      <c r="C39" s="8" t="s">
        <v>184</v>
      </c>
      <c r="D39" s="8" t="s">
        <v>218</v>
      </c>
      <c r="E39" s="8" t="s">
        <v>16</v>
      </c>
      <c r="F39" s="8" t="s">
        <v>16</v>
      </c>
      <c r="G39" s="8" t="s">
        <v>29</v>
      </c>
      <c r="H39" s="8" t="s">
        <v>219</v>
      </c>
      <c r="I39" s="8" t="s">
        <v>96</v>
      </c>
      <c r="J39" s="8" t="s">
        <v>86</v>
      </c>
      <c r="K39" s="8" t="s">
        <v>67</v>
      </c>
      <c r="L39" s="8"/>
      <c r="M39" s="9" t="s">
        <v>42</v>
      </c>
      <c r="N39" s="9"/>
    </row>
    <row r="40" customFormat="false" ht="23.85" hidden="false" customHeight="false" outlineLevel="0" collapsed="false">
      <c r="A40" s="8" t="s">
        <v>220</v>
      </c>
      <c r="B40" s="8" t="s">
        <v>34</v>
      </c>
      <c r="C40" s="8" t="s">
        <v>184</v>
      </c>
      <c r="D40" s="8" t="s">
        <v>221</v>
      </c>
      <c r="E40" s="8" t="s">
        <v>16</v>
      </c>
      <c r="F40" s="8" t="s">
        <v>16</v>
      </c>
      <c r="G40" s="8" t="s">
        <v>29</v>
      </c>
      <c r="H40" s="8" t="s">
        <v>222</v>
      </c>
      <c r="I40" s="8" t="s">
        <v>103</v>
      </c>
      <c r="J40" s="8" t="s">
        <v>80</v>
      </c>
      <c r="K40" s="8" t="s">
        <v>67</v>
      </c>
      <c r="L40" s="8" t="s">
        <v>223</v>
      </c>
      <c r="M40" s="9" t="s">
        <v>42</v>
      </c>
      <c r="N40" s="9"/>
    </row>
    <row r="41" customFormat="false" ht="15" hidden="false" customHeight="false" outlineLevel="0" collapsed="false">
      <c r="A41" s="8" t="s">
        <v>224</v>
      </c>
      <c r="B41" s="8" t="s">
        <v>34</v>
      </c>
      <c r="C41" s="8" t="s">
        <v>184</v>
      </c>
      <c r="D41" s="8" t="s">
        <v>225</v>
      </c>
      <c r="E41" s="8" t="s">
        <v>16</v>
      </c>
      <c r="F41" s="8" t="s">
        <v>16</v>
      </c>
      <c r="G41" s="8" t="s">
        <v>29</v>
      </c>
      <c r="H41" s="8" t="s">
        <v>226</v>
      </c>
      <c r="I41" s="8" t="s">
        <v>96</v>
      </c>
      <c r="J41" s="8" t="s">
        <v>86</v>
      </c>
      <c r="K41" s="8" t="s">
        <v>67</v>
      </c>
      <c r="L41" s="8"/>
      <c r="M41" s="9" t="s">
        <v>42</v>
      </c>
      <c r="N41" s="9"/>
    </row>
    <row r="42" customFormat="false" ht="15" hidden="false" customHeight="false" outlineLevel="0" collapsed="false">
      <c r="A42" s="8" t="s">
        <v>227</v>
      </c>
      <c r="B42" s="8" t="s">
        <v>34</v>
      </c>
      <c r="C42" s="8" t="s">
        <v>184</v>
      </c>
      <c r="D42" s="8" t="s">
        <v>228</v>
      </c>
      <c r="E42" s="8" t="s">
        <v>16</v>
      </c>
      <c r="F42" s="8" t="s">
        <v>16</v>
      </c>
      <c r="G42" s="8" t="s">
        <v>30</v>
      </c>
      <c r="H42" s="8" t="s">
        <v>229</v>
      </c>
      <c r="I42" s="8" t="s">
        <v>103</v>
      </c>
      <c r="J42" s="8" t="s">
        <v>86</v>
      </c>
      <c r="K42" s="8" t="s">
        <v>67</v>
      </c>
      <c r="L42" s="8"/>
      <c r="M42" s="9" t="s">
        <v>42</v>
      </c>
      <c r="N42" s="9"/>
    </row>
    <row r="43" customFormat="false" ht="15" hidden="false" customHeight="false" outlineLevel="0" collapsed="false">
      <c r="A43" s="8" t="s">
        <v>230</v>
      </c>
      <c r="B43" s="8" t="s">
        <v>34</v>
      </c>
      <c r="C43" s="8" t="s">
        <v>184</v>
      </c>
      <c r="D43" s="8" t="s">
        <v>231</v>
      </c>
      <c r="E43" s="8" t="s">
        <v>16</v>
      </c>
      <c r="F43" s="8" t="s">
        <v>16</v>
      </c>
      <c r="G43" s="8" t="s">
        <v>30</v>
      </c>
      <c r="H43" s="8" t="s">
        <v>232</v>
      </c>
      <c r="I43" s="8" t="s">
        <v>103</v>
      </c>
      <c r="J43" s="8" t="s">
        <v>91</v>
      </c>
      <c r="K43" s="8" t="s">
        <v>91</v>
      </c>
      <c r="L43" s="8"/>
      <c r="M43" s="9" t="s">
        <v>42</v>
      </c>
      <c r="N43" s="9"/>
    </row>
    <row r="44" customFormat="false" ht="15" hidden="false" customHeight="false" outlineLevel="0" collapsed="false">
      <c r="A44" s="8" t="s">
        <v>233</v>
      </c>
      <c r="B44" s="8" t="s">
        <v>34</v>
      </c>
      <c r="C44" s="8" t="s">
        <v>164</v>
      </c>
      <c r="D44" s="8" t="s">
        <v>234</v>
      </c>
      <c r="E44" s="8" t="s">
        <v>21</v>
      </c>
      <c r="F44" s="8" t="s">
        <v>16</v>
      </c>
      <c r="G44" s="8" t="s">
        <v>28</v>
      </c>
      <c r="H44" s="8" t="s">
        <v>235</v>
      </c>
      <c r="I44" s="8" t="s">
        <v>142</v>
      </c>
      <c r="J44" s="8" t="s">
        <v>86</v>
      </c>
      <c r="K44" s="8" t="s">
        <v>67</v>
      </c>
      <c r="L44" s="8"/>
      <c r="M44" s="9" t="s">
        <v>42</v>
      </c>
      <c r="N44" s="9"/>
    </row>
    <row r="45" customFormat="false" ht="23.85" hidden="false" customHeight="false" outlineLevel="0" collapsed="false">
      <c r="A45" s="8" t="s">
        <v>236</v>
      </c>
      <c r="B45" s="8" t="s">
        <v>34</v>
      </c>
      <c r="C45" s="8" t="s">
        <v>164</v>
      </c>
      <c r="D45" s="8" t="s">
        <v>237</v>
      </c>
      <c r="E45" s="8" t="s">
        <v>21</v>
      </c>
      <c r="F45" s="8" t="s">
        <v>16</v>
      </c>
      <c r="G45" s="8" t="s">
        <v>29</v>
      </c>
      <c r="H45" s="8" t="s">
        <v>238</v>
      </c>
      <c r="I45" s="8" t="s">
        <v>239</v>
      </c>
      <c r="J45" s="8" t="s">
        <v>240</v>
      </c>
      <c r="K45" s="8" t="s">
        <v>241</v>
      </c>
      <c r="L45" s="8"/>
      <c r="M45" s="9" t="s">
        <v>42</v>
      </c>
      <c r="N45" s="9"/>
    </row>
    <row r="46" customFormat="false" ht="15" hidden="false" customHeight="false" outlineLevel="0" collapsed="false">
      <c r="A46" s="8" t="s">
        <v>242</v>
      </c>
      <c r="B46" s="8" t="s">
        <v>34</v>
      </c>
      <c r="C46" s="8" t="s">
        <v>164</v>
      </c>
      <c r="D46" s="8" t="s">
        <v>243</v>
      </c>
      <c r="E46" s="8" t="s">
        <v>17</v>
      </c>
      <c r="F46" s="8" t="s">
        <v>16</v>
      </c>
      <c r="G46" s="8" t="s">
        <v>30</v>
      </c>
      <c r="H46" s="8" t="s">
        <v>244</v>
      </c>
      <c r="I46" s="8" t="s">
        <v>245</v>
      </c>
      <c r="J46" s="8" t="s">
        <v>91</v>
      </c>
      <c r="K46" s="8" t="s">
        <v>91</v>
      </c>
      <c r="L46" s="8"/>
      <c r="M46" s="9" t="s">
        <v>42</v>
      </c>
      <c r="N46" s="9"/>
    </row>
    <row r="47" customFormat="false" ht="15" hidden="false" customHeight="false" outlineLevel="0" collapsed="false">
      <c r="A47" s="8" t="s">
        <v>246</v>
      </c>
      <c r="B47" s="8" t="s">
        <v>34</v>
      </c>
      <c r="C47" s="8" t="s">
        <v>164</v>
      </c>
      <c r="D47" s="8" t="s">
        <v>247</v>
      </c>
      <c r="E47" s="8" t="s">
        <v>17</v>
      </c>
      <c r="F47" s="8" t="s">
        <v>25</v>
      </c>
      <c r="G47" s="8" t="s">
        <v>28</v>
      </c>
      <c r="H47" s="8" t="s">
        <v>248</v>
      </c>
      <c r="I47" s="8" t="s">
        <v>249</v>
      </c>
      <c r="J47" s="8" t="s">
        <v>158</v>
      </c>
      <c r="K47" s="8" t="s">
        <v>67</v>
      </c>
      <c r="L47" s="8"/>
      <c r="M47" s="9" t="s">
        <v>42</v>
      </c>
      <c r="N47" s="9"/>
    </row>
    <row r="48" customFormat="false" ht="15" hidden="false" customHeight="false" outlineLevel="0" collapsed="false">
      <c r="A48" s="8" t="s">
        <v>250</v>
      </c>
      <c r="B48" s="8" t="s">
        <v>34</v>
      </c>
      <c r="C48" s="8" t="s">
        <v>184</v>
      </c>
      <c r="D48" s="8" t="s">
        <v>251</v>
      </c>
      <c r="E48" s="8" t="s">
        <v>17</v>
      </c>
      <c r="F48" s="8" t="s">
        <v>25</v>
      </c>
      <c r="G48" s="8" t="s">
        <v>29</v>
      </c>
      <c r="H48" s="8" t="s">
        <v>252</v>
      </c>
      <c r="I48" s="8" t="s">
        <v>253</v>
      </c>
      <c r="J48" s="8" t="s">
        <v>158</v>
      </c>
      <c r="K48" s="8" t="s">
        <v>67</v>
      </c>
      <c r="L48" s="8" t="s">
        <v>187</v>
      </c>
      <c r="M48" s="9" t="s">
        <v>42</v>
      </c>
      <c r="N48" s="9"/>
    </row>
    <row r="49" customFormat="false" ht="15" hidden="false" customHeight="false" outlineLevel="0" collapsed="false">
      <c r="A49" s="8" t="s">
        <v>254</v>
      </c>
      <c r="B49" s="8" t="s">
        <v>34</v>
      </c>
      <c r="C49" s="8" t="s">
        <v>164</v>
      </c>
      <c r="D49" s="8" t="s">
        <v>255</v>
      </c>
      <c r="E49" s="8" t="s">
        <v>17</v>
      </c>
      <c r="F49" s="8" t="s">
        <v>25</v>
      </c>
      <c r="G49" s="8" t="s">
        <v>30</v>
      </c>
      <c r="H49" s="8" t="s">
        <v>256</v>
      </c>
      <c r="I49" s="8" t="s">
        <v>257</v>
      </c>
      <c r="J49" s="8" t="s">
        <v>91</v>
      </c>
      <c r="K49" s="8" t="s">
        <v>91</v>
      </c>
      <c r="L49" s="8"/>
      <c r="M49" s="9" t="s">
        <v>42</v>
      </c>
      <c r="N49" s="9"/>
    </row>
    <row r="50" customFormat="false" ht="15" hidden="false" customHeight="false" outlineLevel="0" collapsed="false">
      <c r="A50" s="8" t="s">
        <v>258</v>
      </c>
      <c r="B50" s="8" t="s">
        <v>34</v>
      </c>
      <c r="C50" s="8" t="s">
        <v>259</v>
      </c>
      <c r="D50" s="8" t="s">
        <v>260</v>
      </c>
      <c r="E50" s="8" t="s">
        <v>16</v>
      </c>
      <c r="F50" s="8" t="s">
        <v>16</v>
      </c>
      <c r="G50" s="8" t="s">
        <v>28</v>
      </c>
      <c r="H50" s="8" t="s">
        <v>261</v>
      </c>
      <c r="I50" s="8" t="s">
        <v>262</v>
      </c>
      <c r="J50" s="8" t="s">
        <v>66</v>
      </c>
      <c r="K50" s="8" t="s">
        <v>67</v>
      </c>
      <c r="L50" s="8"/>
      <c r="M50" s="9" t="s">
        <v>42</v>
      </c>
      <c r="N50" s="9"/>
    </row>
    <row r="51" customFormat="false" ht="15" hidden="false" customHeight="false" outlineLevel="0" collapsed="false">
      <c r="A51" s="8" t="s">
        <v>263</v>
      </c>
      <c r="B51" s="8" t="s">
        <v>34</v>
      </c>
      <c r="C51" s="8" t="s">
        <v>259</v>
      </c>
      <c r="D51" s="8" t="s">
        <v>264</v>
      </c>
      <c r="E51" s="8" t="s">
        <v>16</v>
      </c>
      <c r="F51" s="8" t="s">
        <v>16</v>
      </c>
      <c r="G51" s="8" t="s">
        <v>29</v>
      </c>
      <c r="H51" s="8" t="s">
        <v>265</v>
      </c>
      <c r="I51" s="8" t="s">
        <v>266</v>
      </c>
      <c r="J51" s="8" t="s">
        <v>66</v>
      </c>
      <c r="K51" s="8" t="s">
        <v>67</v>
      </c>
      <c r="L51" s="8"/>
      <c r="M51" s="9" t="s">
        <v>42</v>
      </c>
      <c r="N51" s="9"/>
    </row>
    <row r="52" customFormat="false" ht="15" hidden="false" customHeight="false" outlineLevel="0" collapsed="false">
      <c r="A52" s="8" t="s">
        <v>267</v>
      </c>
      <c r="B52" s="8" t="s">
        <v>34</v>
      </c>
      <c r="C52" s="8" t="s">
        <v>259</v>
      </c>
      <c r="D52" s="8" t="s">
        <v>268</v>
      </c>
      <c r="E52" s="8" t="s">
        <v>16</v>
      </c>
      <c r="F52" s="8" t="s">
        <v>16</v>
      </c>
      <c r="G52" s="8" t="s">
        <v>30</v>
      </c>
      <c r="H52" s="8" t="s">
        <v>269</v>
      </c>
      <c r="I52" s="8" t="s">
        <v>266</v>
      </c>
      <c r="J52" s="8" t="s">
        <v>86</v>
      </c>
      <c r="K52" s="8" t="s">
        <v>67</v>
      </c>
      <c r="L52" s="8"/>
      <c r="M52" s="9" t="s">
        <v>42</v>
      </c>
      <c r="N52" s="9"/>
    </row>
    <row r="53" customFormat="false" ht="15" hidden="false" customHeight="false" outlineLevel="0" collapsed="false">
      <c r="A53" s="8" t="s">
        <v>270</v>
      </c>
      <c r="B53" s="8" t="s">
        <v>34</v>
      </c>
      <c r="C53" s="8" t="s">
        <v>271</v>
      </c>
      <c r="D53" s="8" t="s">
        <v>272</v>
      </c>
      <c r="E53" s="8" t="s">
        <v>21</v>
      </c>
      <c r="F53" s="8" t="s">
        <v>16</v>
      </c>
      <c r="G53" s="8" t="s">
        <v>28</v>
      </c>
      <c r="H53" s="8" t="s">
        <v>273</v>
      </c>
      <c r="I53" s="8" t="s">
        <v>274</v>
      </c>
      <c r="J53" s="8" t="s">
        <v>66</v>
      </c>
      <c r="K53" s="8" t="s">
        <v>67</v>
      </c>
      <c r="L53" s="8" t="s">
        <v>275</v>
      </c>
      <c r="M53" s="9" t="s">
        <v>42</v>
      </c>
      <c r="N53" s="9"/>
    </row>
    <row r="54" customFormat="false" ht="15" hidden="false" customHeight="false" outlineLevel="0" collapsed="false">
      <c r="A54" s="8" t="s">
        <v>276</v>
      </c>
      <c r="B54" s="8" t="s">
        <v>34</v>
      </c>
      <c r="C54" s="8" t="s">
        <v>277</v>
      </c>
      <c r="D54" s="8" t="s">
        <v>278</v>
      </c>
      <c r="E54" s="8" t="s">
        <v>16</v>
      </c>
      <c r="F54" s="8" t="s">
        <v>16</v>
      </c>
      <c r="G54" s="8" t="s">
        <v>29</v>
      </c>
      <c r="H54" s="8" t="s">
        <v>279</v>
      </c>
      <c r="I54" s="8" t="s">
        <v>280</v>
      </c>
      <c r="J54" s="8" t="s">
        <v>86</v>
      </c>
      <c r="K54" s="8" t="s">
        <v>67</v>
      </c>
      <c r="L54" s="8"/>
      <c r="M54" s="9" t="s">
        <v>42</v>
      </c>
      <c r="N54" s="9"/>
    </row>
    <row r="55" customFormat="false" ht="15" hidden="false" customHeight="false" outlineLevel="0" collapsed="false">
      <c r="A55" s="8" t="s">
        <v>281</v>
      </c>
      <c r="B55" s="8" t="s">
        <v>34</v>
      </c>
      <c r="C55" s="8" t="s">
        <v>271</v>
      </c>
      <c r="D55" s="8" t="s">
        <v>282</v>
      </c>
      <c r="E55" s="8" t="s">
        <v>21</v>
      </c>
      <c r="F55" s="8" t="s">
        <v>16</v>
      </c>
      <c r="G55" s="8" t="s">
        <v>28</v>
      </c>
      <c r="H55" s="8" t="s">
        <v>283</v>
      </c>
      <c r="I55" s="8" t="s">
        <v>274</v>
      </c>
      <c r="J55" s="8" t="s">
        <v>66</v>
      </c>
      <c r="K55" s="8" t="s">
        <v>67</v>
      </c>
      <c r="L55" s="8" t="s">
        <v>275</v>
      </c>
      <c r="M55" s="9" t="s">
        <v>42</v>
      </c>
      <c r="N55" s="9"/>
    </row>
    <row r="56" customFormat="false" ht="15" hidden="false" customHeight="false" outlineLevel="0" collapsed="false">
      <c r="A56" s="8" t="s">
        <v>284</v>
      </c>
      <c r="B56" s="8" t="s">
        <v>34</v>
      </c>
      <c r="C56" s="8" t="s">
        <v>277</v>
      </c>
      <c r="D56" s="8" t="s">
        <v>285</v>
      </c>
      <c r="E56" s="8" t="s">
        <v>16</v>
      </c>
      <c r="F56" s="8" t="s">
        <v>16</v>
      </c>
      <c r="G56" s="8" t="s">
        <v>30</v>
      </c>
      <c r="H56" s="8" t="s">
        <v>286</v>
      </c>
      <c r="I56" s="8" t="s">
        <v>96</v>
      </c>
      <c r="J56" s="8" t="s">
        <v>91</v>
      </c>
      <c r="K56" s="8" t="s">
        <v>91</v>
      </c>
      <c r="L56" s="8"/>
      <c r="M56" s="9" t="s">
        <v>42</v>
      </c>
      <c r="N56" s="9"/>
    </row>
    <row r="57" customFormat="false" ht="15" hidden="false" customHeight="false" outlineLevel="0" collapsed="false">
      <c r="A57" s="8" t="s">
        <v>287</v>
      </c>
      <c r="B57" s="8" t="s">
        <v>34</v>
      </c>
      <c r="C57" s="8" t="s">
        <v>277</v>
      </c>
      <c r="D57" s="8" t="s">
        <v>288</v>
      </c>
      <c r="E57" s="8" t="s">
        <v>18</v>
      </c>
      <c r="F57" s="8" t="s">
        <v>16</v>
      </c>
      <c r="G57" s="8" t="s">
        <v>29</v>
      </c>
      <c r="H57" s="8" t="s">
        <v>289</v>
      </c>
      <c r="I57" s="8" t="s">
        <v>290</v>
      </c>
      <c r="J57" s="8" t="s">
        <v>66</v>
      </c>
      <c r="K57" s="8" t="s">
        <v>67</v>
      </c>
      <c r="L57" s="8"/>
      <c r="M57" s="9" t="s">
        <v>42</v>
      </c>
      <c r="N57" s="9"/>
    </row>
    <row r="58" customFormat="false" ht="15" hidden="false" customHeight="false" outlineLevel="0" collapsed="false">
      <c r="A58" s="8" t="s">
        <v>291</v>
      </c>
      <c r="B58" s="8" t="s">
        <v>34</v>
      </c>
      <c r="C58" s="8" t="s">
        <v>292</v>
      </c>
      <c r="D58" s="8" t="s">
        <v>293</v>
      </c>
      <c r="E58" s="8" t="s">
        <v>16</v>
      </c>
      <c r="F58" s="8" t="s">
        <v>16</v>
      </c>
      <c r="G58" s="8" t="s">
        <v>29</v>
      </c>
      <c r="H58" s="8" t="s">
        <v>294</v>
      </c>
      <c r="I58" s="8" t="s">
        <v>295</v>
      </c>
      <c r="J58" s="8" t="s">
        <v>66</v>
      </c>
      <c r="K58" s="8" t="s">
        <v>67</v>
      </c>
      <c r="L58" s="8"/>
      <c r="M58" s="9" t="s">
        <v>42</v>
      </c>
      <c r="N58" s="9"/>
    </row>
    <row r="59" customFormat="false" ht="15" hidden="false" customHeight="false" outlineLevel="0" collapsed="false">
      <c r="A59" s="8" t="s">
        <v>296</v>
      </c>
      <c r="B59" s="8" t="s">
        <v>34</v>
      </c>
      <c r="C59" s="8" t="s">
        <v>292</v>
      </c>
      <c r="D59" s="8" t="s">
        <v>297</v>
      </c>
      <c r="E59" s="8" t="s">
        <v>19</v>
      </c>
      <c r="F59" s="8" t="s">
        <v>16</v>
      </c>
      <c r="G59" s="8" t="s">
        <v>29</v>
      </c>
      <c r="H59" s="8" t="s">
        <v>298</v>
      </c>
      <c r="I59" s="8" t="s">
        <v>266</v>
      </c>
      <c r="J59" s="8" t="s">
        <v>66</v>
      </c>
      <c r="K59" s="8" t="s">
        <v>67</v>
      </c>
      <c r="L59" s="8"/>
      <c r="M59" s="9" t="s">
        <v>42</v>
      </c>
      <c r="N59" s="9"/>
    </row>
    <row r="60" customFormat="false" ht="15" hidden="false" customHeight="false" outlineLevel="0" collapsed="false">
      <c r="A60" s="8" t="s">
        <v>299</v>
      </c>
      <c r="B60" s="8" t="s">
        <v>34</v>
      </c>
      <c r="C60" s="8" t="s">
        <v>292</v>
      </c>
      <c r="D60" s="8" t="s">
        <v>300</v>
      </c>
      <c r="E60" s="8" t="s">
        <v>18</v>
      </c>
      <c r="F60" s="8" t="s">
        <v>16</v>
      </c>
      <c r="G60" s="8" t="s">
        <v>29</v>
      </c>
      <c r="H60" s="8" t="s">
        <v>301</v>
      </c>
      <c r="I60" s="8" t="s">
        <v>290</v>
      </c>
      <c r="J60" s="8" t="s">
        <v>66</v>
      </c>
      <c r="K60" s="8" t="s">
        <v>67</v>
      </c>
      <c r="L60" s="8"/>
      <c r="M60" s="9" t="s">
        <v>42</v>
      </c>
      <c r="N60" s="9"/>
    </row>
    <row r="61" customFormat="false" ht="15" hidden="false" customHeight="false" outlineLevel="0" collapsed="false">
      <c r="A61" s="8" t="s">
        <v>302</v>
      </c>
      <c r="B61" s="8" t="s">
        <v>34</v>
      </c>
      <c r="C61" s="8" t="s">
        <v>271</v>
      </c>
      <c r="D61" s="8" t="s">
        <v>303</v>
      </c>
      <c r="E61" s="8" t="s">
        <v>21</v>
      </c>
      <c r="F61" s="8" t="s">
        <v>16</v>
      </c>
      <c r="G61" s="8" t="s">
        <v>28</v>
      </c>
      <c r="H61" s="8" t="s">
        <v>304</v>
      </c>
      <c r="I61" s="8" t="s">
        <v>274</v>
      </c>
      <c r="J61" s="8" t="s">
        <v>91</v>
      </c>
      <c r="K61" s="8" t="s">
        <v>91</v>
      </c>
      <c r="L61" s="8" t="s">
        <v>275</v>
      </c>
      <c r="M61" s="9" t="s">
        <v>42</v>
      </c>
      <c r="N61" s="9"/>
    </row>
    <row r="62" customFormat="false" ht="15" hidden="false" customHeight="false" outlineLevel="0" collapsed="false">
      <c r="A62" s="8" t="s">
        <v>305</v>
      </c>
      <c r="B62" s="8" t="s">
        <v>35</v>
      </c>
      <c r="C62" s="8" t="s">
        <v>306</v>
      </c>
      <c r="D62" s="8" t="s">
        <v>307</v>
      </c>
      <c r="E62" s="8" t="s">
        <v>16</v>
      </c>
      <c r="F62" s="8" t="s">
        <v>16</v>
      </c>
      <c r="G62" s="8" t="s">
        <v>29</v>
      </c>
      <c r="H62" s="8" t="s">
        <v>308</v>
      </c>
      <c r="I62" s="8" t="s">
        <v>309</v>
      </c>
      <c r="J62" s="8" t="s">
        <v>86</v>
      </c>
      <c r="K62" s="8" t="s">
        <v>67</v>
      </c>
      <c r="L62" s="8"/>
      <c r="M62" s="9" t="s">
        <v>42</v>
      </c>
      <c r="N62" s="9"/>
    </row>
    <row r="63" customFormat="false" ht="23.85" hidden="false" customHeight="false" outlineLevel="0" collapsed="false">
      <c r="A63" s="8" t="s">
        <v>310</v>
      </c>
      <c r="B63" s="8" t="s">
        <v>35</v>
      </c>
      <c r="C63" s="8" t="s">
        <v>306</v>
      </c>
      <c r="D63" s="8" t="s">
        <v>311</v>
      </c>
      <c r="E63" s="8" t="s">
        <v>19</v>
      </c>
      <c r="F63" s="8" t="s">
        <v>16</v>
      </c>
      <c r="G63" s="8" t="s">
        <v>28</v>
      </c>
      <c r="H63" s="8" t="s">
        <v>312</v>
      </c>
      <c r="I63" s="8" t="s">
        <v>313</v>
      </c>
      <c r="J63" s="8" t="s">
        <v>80</v>
      </c>
      <c r="K63" s="8" t="s">
        <v>67</v>
      </c>
      <c r="L63" s="8" t="s">
        <v>314</v>
      </c>
      <c r="M63" s="9" t="s">
        <v>42</v>
      </c>
      <c r="N63" s="9"/>
    </row>
    <row r="64" customFormat="false" ht="15" hidden="false" customHeight="false" outlineLevel="0" collapsed="false">
      <c r="A64" s="8" t="s">
        <v>315</v>
      </c>
      <c r="B64" s="8" t="s">
        <v>35</v>
      </c>
      <c r="C64" s="8" t="s">
        <v>306</v>
      </c>
      <c r="D64" s="8" t="s">
        <v>316</v>
      </c>
      <c r="E64" s="8" t="s">
        <v>16</v>
      </c>
      <c r="F64" s="8" t="s">
        <v>16</v>
      </c>
      <c r="G64" s="8" t="s">
        <v>30</v>
      </c>
      <c r="H64" s="8" t="s">
        <v>317</v>
      </c>
      <c r="I64" s="8" t="s">
        <v>318</v>
      </c>
      <c r="J64" s="8" t="s">
        <v>195</v>
      </c>
      <c r="K64" s="8" t="s">
        <v>67</v>
      </c>
      <c r="L64" s="8"/>
      <c r="M64" s="9" t="s">
        <v>42</v>
      </c>
      <c r="N64" s="9"/>
    </row>
    <row r="65" customFormat="false" ht="15" hidden="false" customHeight="false" outlineLevel="0" collapsed="false">
      <c r="A65" s="8" t="s">
        <v>319</v>
      </c>
      <c r="B65" s="8" t="s">
        <v>35</v>
      </c>
      <c r="C65" s="8" t="s">
        <v>306</v>
      </c>
      <c r="D65" s="8" t="s">
        <v>320</v>
      </c>
      <c r="E65" s="8" t="s">
        <v>16</v>
      </c>
      <c r="F65" s="8" t="s">
        <v>16</v>
      </c>
      <c r="G65" s="8" t="s">
        <v>30</v>
      </c>
      <c r="H65" s="8" t="s">
        <v>321</v>
      </c>
      <c r="I65" s="8" t="s">
        <v>322</v>
      </c>
      <c r="J65" s="8" t="s">
        <v>91</v>
      </c>
      <c r="K65" s="8" t="s">
        <v>91</v>
      </c>
      <c r="L65" s="8"/>
      <c r="M65" s="9" t="s">
        <v>42</v>
      </c>
      <c r="N65" s="9"/>
    </row>
    <row r="66" customFormat="false" ht="15" hidden="false" customHeight="false" outlineLevel="0" collapsed="false">
      <c r="A66" s="8" t="s">
        <v>323</v>
      </c>
      <c r="B66" s="8" t="s">
        <v>35</v>
      </c>
      <c r="C66" s="8" t="s">
        <v>306</v>
      </c>
      <c r="D66" s="8" t="s">
        <v>324</v>
      </c>
      <c r="E66" s="8" t="s">
        <v>16</v>
      </c>
      <c r="F66" s="8" t="s">
        <v>16</v>
      </c>
      <c r="G66" s="8" t="s">
        <v>30</v>
      </c>
      <c r="H66" s="8" t="s">
        <v>325</v>
      </c>
      <c r="I66" s="8" t="s">
        <v>326</v>
      </c>
      <c r="J66" s="8" t="s">
        <v>86</v>
      </c>
      <c r="K66" s="8" t="s">
        <v>67</v>
      </c>
      <c r="L66" s="8"/>
      <c r="M66" s="9" t="s">
        <v>42</v>
      </c>
      <c r="N66" s="9"/>
    </row>
    <row r="67" customFormat="false" ht="15" hidden="false" customHeight="false" outlineLevel="0" collapsed="false">
      <c r="A67" s="8" t="s">
        <v>327</v>
      </c>
      <c r="B67" s="8" t="s">
        <v>35</v>
      </c>
      <c r="C67" s="8" t="s">
        <v>306</v>
      </c>
      <c r="D67" s="8" t="s">
        <v>328</v>
      </c>
      <c r="E67" s="8" t="s">
        <v>16</v>
      </c>
      <c r="F67" s="8" t="s">
        <v>16</v>
      </c>
      <c r="G67" s="8" t="s">
        <v>31</v>
      </c>
      <c r="H67" s="8" t="s">
        <v>329</v>
      </c>
      <c r="I67" s="8" t="s">
        <v>330</v>
      </c>
      <c r="J67" s="8" t="s">
        <v>91</v>
      </c>
      <c r="K67" s="8" t="s">
        <v>91</v>
      </c>
      <c r="L67" s="8"/>
      <c r="M67" s="9" t="s">
        <v>42</v>
      </c>
      <c r="N67" s="9"/>
    </row>
    <row r="68" customFormat="false" ht="15" hidden="false" customHeight="false" outlineLevel="0" collapsed="false">
      <c r="A68" s="8" t="s">
        <v>331</v>
      </c>
      <c r="B68" s="8" t="s">
        <v>35</v>
      </c>
      <c r="C68" s="8" t="s">
        <v>306</v>
      </c>
      <c r="D68" s="8" t="s">
        <v>332</v>
      </c>
      <c r="E68" s="8" t="s">
        <v>16</v>
      </c>
      <c r="F68" s="8" t="s">
        <v>16</v>
      </c>
      <c r="G68" s="8" t="s">
        <v>30</v>
      </c>
      <c r="H68" s="8" t="s">
        <v>333</v>
      </c>
      <c r="I68" s="8" t="s">
        <v>334</v>
      </c>
      <c r="J68" s="8" t="s">
        <v>91</v>
      </c>
      <c r="K68" s="8" t="s">
        <v>91</v>
      </c>
      <c r="L68" s="8"/>
      <c r="M68" s="9" t="s">
        <v>42</v>
      </c>
      <c r="N68" s="9"/>
    </row>
    <row r="69" customFormat="false" ht="15" hidden="false" customHeight="false" outlineLevel="0" collapsed="false">
      <c r="A69" s="8" t="s">
        <v>335</v>
      </c>
      <c r="B69" s="8" t="s">
        <v>35</v>
      </c>
      <c r="C69" s="8" t="s">
        <v>306</v>
      </c>
      <c r="D69" s="8" t="s">
        <v>336</v>
      </c>
      <c r="E69" s="8" t="s">
        <v>16</v>
      </c>
      <c r="F69" s="8" t="s">
        <v>16</v>
      </c>
      <c r="G69" s="8" t="s">
        <v>31</v>
      </c>
      <c r="H69" s="8" t="s">
        <v>337</v>
      </c>
      <c r="I69" s="8" t="s">
        <v>338</v>
      </c>
      <c r="J69" s="8" t="s">
        <v>91</v>
      </c>
      <c r="K69" s="8" t="s">
        <v>91</v>
      </c>
      <c r="L69" s="8"/>
      <c r="M69" s="9" t="s">
        <v>42</v>
      </c>
      <c r="N69" s="9"/>
    </row>
    <row r="70" customFormat="false" ht="15" hidden="false" customHeight="false" outlineLevel="0" collapsed="false">
      <c r="A70" s="8" t="s">
        <v>339</v>
      </c>
      <c r="B70" s="8" t="s">
        <v>35</v>
      </c>
      <c r="C70" s="8" t="s">
        <v>271</v>
      </c>
      <c r="D70" s="8" t="s">
        <v>340</v>
      </c>
      <c r="E70" s="8" t="s">
        <v>21</v>
      </c>
      <c r="F70" s="8" t="s">
        <v>16</v>
      </c>
      <c r="G70" s="8" t="s">
        <v>28</v>
      </c>
      <c r="H70" s="8" t="s">
        <v>341</v>
      </c>
      <c r="I70" s="8" t="s">
        <v>342</v>
      </c>
      <c r="J70" s="8" t="s">
        <v>86</v>
      </c>
      <c r="K70" s="8" t="s">
        <v>67</v>
      </c>
      <c r="L70" s="8"/>
      <c r="M70" s="9" t="s">
        <v>42</v>
      </c>
      <c r="N70" s="9"/>
    </row>
    <row r="71" customFormat="false" ht="15" hidden="false" customHeight="false" outlineLevel="0" collapsed="false">
      <c r="A71" s="8" t="s">
        <v>343</v>
      </c>
      <c r="B71" s="8" t="s">
        <v>35</v>
      </c>
      <c r="C71" s="8" t="s">
        <v>306</v>
      </c>
      <c r="D71" s="8" t="s">
        <v>344</v>
      </c>
      <c r="E71" s="8" t="s">
        <v>17</v>
      </c>
      <c r="F71" s="8" t="s">
        <v>25</v>
      </c>
      <c r="G71" s="8" t="s">
        <v>30</v>
      </c>
      <c r="H71" s="8" t="s">
        <v>345</v>
      </c>
      <c r="I71" s="8" t="s">
        <v>346</v>
      </c>
      <c r="J71" s="8" t="s">
        <v>158</v>
      </c>
      <c r="K71" s="8" t="s">
        <v>67</v>
      </c>
      <c r="L71" s="8"/>
      <c r="M71" s="9" t="s">
        <v>42</v>
      </c>
      <c r="N71" s="9"/>
    </row>
    <row r="72" customFormat="false" ht="15" hidden="false" customHeight="false" outlineLevel="0" collapsed="false">
      <c r="A72" s="8" t="s">
        <v>347</v>
      </c>
      <c r="B72" s="8" t="s">
        <v>35</v>
      </c>
      <c r="C72" s="8" t="s">
        <v>306</v>
      </c>
      <c r="D72" s="8" t="s">
        <v>348</v>
      </c>
      <c r="E72" s="8" t="s">
        <v>17</v>
      </c>
      <c r="F72" s="8" t="s">
        <v>25</v>
      </c>
      <c r="G72" s="8" t="s">
        <v>29</v>
      </c>
      <c r="H72" s="8" t="s">
        <v>349</v>
      </c>
      <c r="I72" s="8" t="s">
        <v>350</v>
      </c>
      <c r="J72" s="8" t="s">
        <v>158</v>
      </c>
      <c r="K72" s="8" t="s">
        <v>67</v>
      </c>
      <c r="L72" s="8" t="s">
        <v>314</v>
      </c>
      <c r="M72" s="9" t="s">
        <v>42</v>
      </c>
      <c r="N72" s="9"/>
    </row>
    <row r="73" customFormat="false" ht="23.85" hidden="false" customHeight="false" outlineLevel="0" collapsed="false">
      <c r="A73" s="8" t="s">
        <v>351</v>
      </c>
      <c r="B73" s="8" t="s">
        <v>36</v>
      </c>
      <c r="C73" s="8" t="s">
        <v>352</v>
      </c>
      <c r="D73" s="8" t="s">
        <v>353</v>
      </c>
      <c r="E73" s="8" t="s">
        <v>18</v>
      </c>
      <c r="F73" s="8" t="s">
        <v>16</v>
      </c>
      <c r="G73" s="8" t="s">
        <v>28</v>
      </c>
      <c r="H73" s="8" t="s">
        <v>354</v>
      </c>
      <c r="I73" s="8" t="s">
        <v>355</v>
      </c>
      <c r="J73" s="8" t="s">
        <v>66</v>
      </c>
      <c r="K73" s="8" t="s">
        <v>67</v>
      </c>
      <c r="L73" s="8"/>
      <c r="M73" s="9" t="s">
        <v>42</v>
      </c>
      <c r="N73" s="9"/>
    </row>
    <row r="74" customFormat="false" ht="23.85" hidden="false" customHeight="false" outlineLevel="0" collapsed="false">
      <c r="A74" s="8" t="s">
        <v>356</v>
      </c>
      <c r="B74" s="8" t="s">
        <v>36</v>
      </c>
      <c r="C74" s="8" t="s">
        <v>352</v>
      </c>
      <c r="D74" s="8" t="s">
        <v>357</v>
      </c>
      <c r="E74" s="8" t="s">
        <v>18</v>
      </c>
      <c r="F74" s="8" t="s">
        <v>16</v>
      </c>
      <c r="G74" s="8" t="s">
        <v>29</v>
      </c>
      <c r="H74" s="8" t="s">
        <v>358</v>
      </c>
      <c r="I74" s="8" t="s">
        <v>359</v>
      </c>
      <c r="J74" s="8" t="s">
        <v>191</v>
      </c>
      <c r="K74" s="8" t="s">
        <v>67</v>
      </c>
      <c r="L74" s="8"/>
      <c r="M74" s="9" t="s">
        <v>42</v>
      </c>
      <c r="N74" s="9"/>
    </row>
    <row r="75" customFormat="false" ht="23.85" hidden="false" customHeight="false" outlineLevel="0" collapsed="false">
      <c r="A75" s="8" t="s">
        <v>360</v>
      </c>
      <c r="B75" s="8" t="s">
        <v>36</v>
      </c>
      <c r="C75" s="8" t="s">
        <v>361</v>
      </c>
      <c r="D75" s="8" t="s">
        <v>362</v>
      </c>
      <c r="E75" s="8" t="s">
        <v>18</v>
      </c>
      <c r="F75" s="8" t="s">
        <v>16</v>
      </c>
      <c r="G75" s="8" t="s">
        <v>28</v>
      </c>
      <c r="H75" s="8" t="s">
        <v>363</v>
      </c>
      <c r="I75" s="8" t="s">
        <v>290</v>
      </c>
      <c r="J75" s="8" t="s">
        <v>191</v>
      </c>
      <c r="K75" s="8" t="s">
        <v>67</v>
      </c>
      <c r="L75" s="8" t="s">
        <v>364</v>
      </c>
      <c r="M75" s="9" t="s">
        <v>42</v>
      </c>
      <c r="N75" s="9"/>
    </row>
    <row r="76" customFormat="false" ht="23.85" hidden="false" customHeight="false" outlineLevel="0" collapsed="false">
      <c r="A76" s="8" t="s">
        <v>365</v>
      </c>
      <c r="B76" s="8" t="s">
        <v>36</v>
      </c>
      <c r="C76" s="8" t="s">
        <v>352</v>
      </c>
      <c r="D76" s="8" t="s">
        <v>366</v>
      </c>
      <c r="E76" s="8" t="s">
        <v>18</v>
      </c>
      <c r="F76" s="8" t="s">
        <v>16</v>
      </c>
      <c r="G76" s="8" t="s">
        <v>28</v>
      </c>
      <c r="H76" s="8" t="s">
        <v>367</v>
      </c>
      <c r="I76" s="8" t="s">
        <v>368</v>
      </c>
      <c r="J76" s="8" t="s">
        <v>191</v>
      </c>
      <c r="K76" s="8" t="s">
        <v>67</v>
      </c>
      <c r="L76" s="8" t="s">
        <v>369</v>
      </c>
      <c r="M76" s="9" t="s">
        <v>42</v>
      </c>
      <c r="N76" s="9"/>
    </row>
    <row r="77" customFormat="false" ht="23.85" hidden="false" customHeight="false" outlineLevel="0" collapsed="false">
      <c r="A77" s="8" t="s">
        <v>370</v>
      </c>
      <c r="B77" s="8" t="s">
        <v>36</v>
      </c>
      <c r="C77" s="8" t="s">
        <v>371</v>
      </c>
      <c r="D77" s="8" t="s">
        <v>372</v>
      </c>
      <c r="E77" s="8" t="s">
        <v>18</v>
      </c>
      <c r="F77" s="8" t="s">
        <v>16</v>
      </c>
      <c r="G77" s="8" t="s">
        <v>29</v>
      </c>
      <c r="H77" s="8" t="s">
        <v>373</v>
      </c>
      <c r="I77" s="8" t="s">
        <v>374</v>
      </c>
      <c r="J77" s="8" t="s">
        <v>86</v>
      </c>
      <c r="K77" s="8" t="s">
        <v>67</v>
      </c>
      <c r="L77" s="8"/>
      <c r="M77" s="9" t="s">
        <v>42</v>
      </c>
      <c r="N77" s="9"/>
    </row>
    <row r="78" customFormat="false" ht="23.85" hidden="false" customHeight="false" outlineLevel="0" collapsed="false">
      <c r="A78" s="8" t="s">
        <v>375</v>
      </c>
      <c r="B78" s="8" t="s">
        <v>36</v>
      </c>
      <c r="C78" s="8" t="s">
        <v>371</v>
      </c>
      <c r="D78" s="8" t="s">
        <v>376</v>
      </c>
      <c r="E78" s="8" t="s">
        <v>18</v>
      </c>
      <c r="F78" s="8" t="s">
        <v>16</v>
      </c>
      <c r="G78" s="8" t="s">
        <v>29</v>
      </c>
      <c r="H78" s="8" t="s">
        <v>377</v>
      </c>
      <c r="I78" s="8" t="s">
        <v>374</v>
      </c>
      <c r="J78" s="8" t="s">
        <v>91</v>
      </c>
      <c r="K78" s="8" t="s">
        <v>91</v>
      </c>
      <c r="L78" s="8"/>
      <c r="M78" s="9" t="s">
        <v>42</v>
      </c>
      <c r="N78" s="9"/>
    </row>
    <row r="79" customFormat="false" ht="23.85" hidden="false" customHeight="false" outlineLevel="0" collapsed="false">
      <c r="A79" s="8" t="s">
        <v>378</v>
      </c>
      <c r="B79" s="8" t="s">
        <v>36</v>
      </c>
      <c r="C79" s="8" t="s">
        <v>371</v>
      </c>
      <c r="D79" s="8" t="s">
        <v>379</v>
      </c>
      <c r="E79" s="8" t="s">
        <v>18</v>
      </c>
      <c r="F79" s="8" t="s">
        <v>16</v>
      </c>
      <c r="G79" s="8" t="s">
        <v>28</v>
      </c>
      <c r="H79" s="8" t="s">
        <v>380</v>
      </c>
      <c r="I79" s="8" t="s">
        <v>290</v>
      </c>
      <c r="J79" s="8" t="s">
        <v>191</v>
      </c>
      <c r="K79" s="8" t="s">
        <v>67</v>
      </c>
      <c r="L79" s="8" t="s">
        <v>381</v>
      </c>
      <c r="M79" s="9" t="s">
        <v>42</v>
      </c>
      <c r="N79" s="9"/>
    </row>
    <row r="80" customFormat="false" ht="23.85" hidden="false" customHeight="false" outlineLevel="0" collapsed="false">
      <c r="A80" s="8" t="s">
        <v>382</v>
      </c>
      <c r="B80" s="8" t="s">
        <v>36</v>
      </c>
      <c r="C80" s="8" t="s">
        <v>352</v>
      </c>
      <c r="D80" s="8" t="s">
        <v>383</v>
      </c>
      <c r="E80" s="8" t="s">
        <v>18</v>
      </c>
      <c r="F80" s="8" t="s">
        <v>16</v>
      </c>
      <c r="G80" s="8" t="s">
        <v>29</v>
      </c>
      <c r="H80" s="8" t="s">
        <v>384</v>
      </c>
      <c r="I80" s="8" t="s">
        <v>290</v>
      </c>
      <c r="J80" s="8" t="s">
        <v>66</v>
      </c>
      <c r="K80" s="8" t="s">
        <v>67</v>
      </c>
      <c r="L80" s="8"/>
      <c r="M80" s="9" t="s">
        <v>42</v>
      </c>
      <c r="N80" s="9"/>
    </row>
    <row r="81" customFormat="false" ht="23.85" hidden="false" customHeight="false" outlineLevel="0" collapsed="false">
      <c r="A81" s="8" t="s">
        <v>385</v>
      </c>
      <c r="B81" s="8" t="s">
        <v>36</v>
      </c>
      <c r="C81" s="8" t="s">
        <v>361</v>
      </c>
      <c r="D81" s="8" t="s">
        <v>386</v>
      </c>
      <c r="E81" s="8" t="s">
        <v>18</v>
      </c>
      <c r="F81" s="8" t="s">
        <v>16</v>
      </c>
      <c r="G81" s="8" t="s">
        <v>29</v>
      </c>
      <c r="H81" s="8" t="s">
        <v>387</v>
      </c>
      <c r="I81" s="8" t="s">
        <v>290</v>
      </c>
      <c r="J81" s="8" t="s">
        <v>195</v>
      </c>
      <c r="K81" s="8" t="s">
        <v>67</v>
      </c>
      <c r="L81" s="8"/>
      <c r="M81" s="9" t="s">
        <v>42</v>
      </c>
      <c r="N81" s="9"/>
    </row>
    <row r="82" customFormat="false" ht="23.85" hidden="false" customHeight="false" outlineLevel="0" collapsed="false">
      <c r="A82" s="8" t="s">
        <v>388</v>
      </c>
      <c r="B82" s="8" t="s">
        <v>36</v>
      </c>
      <c r="C82" s="8" t="s">
        <v>352</v>
      </c>
      <c r="D82" s="8" t="s">
        <v>389</v>
      </c>
      <c r="E82" s="8" t="s">
        <v>18</v>
      </c>
      <c r="F82" s="8" t="s">
        <v>16</v>
      </c>
      <c r="G82" s="8" t="s">
        <v>29</v>
      </c>
      <c r="H82" s="8" t="s">
        <v>390</v>
      </c>
      <c r="I82" s="8" t="s">
        <v>290</v>
      </c>
      <c r="J82" s="8" t="s">
        <v>86</v>
      </c>
      <c r="K82" s="8" t="s">
        <v>67</v>
      </c>
      <c r="L82" s="8"/>
      <c r="M82" s="9" t="s">
        <v>42</v>
      </c>
      <c r="N82" s="9"/>
    </row>
    <row r="83" customFormat="false" ht="23.85" hidden="false" customHeight="false" outlineLevel="0" collapsed="false">
      <c r="A83" s="8" t="s">
        <v>391</v>
      </c>
      <c r="B83" s="8" t="s">
        <v>36</v>
      </c>
      <c r="C83" s="8" t="s">
        <v>271</v>
      </c>
      <c r="D83" s="8" t="s">
        <v>392</v>
      </c>
      <c r="E83" s="8" t="s">
        <v>21</v>
      </c>
      <c r="F83" s="8" t="s">
        <v>16</v>
      </c>
      <c r="G83" s="8" t="s">
        <v>28</v>
      </c>
      <c r="H83" s="8" t="s">
        <v>393</v>
      </c>
      <c r="I83" s="8" t="s">
        <v>274</v>
      </c>
      <c r="J83" s="8" t="s">
        <v>66</v>
      </c>
      <c r="K83" s="8" t="s">
        <v>67</v>
      </c>
      <c r="L83" s="8" t="s">
        <v>275</v>
      </c>
      <c r="M83" s="9" t="s">
        <v>42</v>
      </c>
      <c r="N83" s="9"/>
    </row>
    <row r="84" customFormat="false" ht="23.85" hidden="false" customHeight="false" outlineLevel="0" collapsed="false">
      <c r="A84" s="8" t="s">
        <v>394</v>
      </c>
      <c r="B84" s="8" t="s">
        <v>36</v>
      </c>
      <c r="C84" s="8" t="s">
        <v>271</v>
      </c>
      <c r="D84" s="8" t="s">
        <v>395</v>
      </c>
      <c r="E84" s="8" t="s">
        <v>21</v>
      </c>
      <c r="F84" s="8" t="s">
        <v>16</v>
      </c>
      <c r="G84" s="8" t="s">
        <v>28</v>
      </c>
      <c r="H84" s="8" t="s">
        <v>396</v>
      </c>
      <c r="I84" s="8" t="s">
        <v>274</v>
      </c>
      <c r="J84" s="8" t="s">
        <v>91</v>
      </c>
      <c r="K84" s="8" t="s">
        <v>91</v>
      </c>
      <c r="L84" s="8" t="s">
        <v>275</v>
      </c>
      <c r="M84" s="9" t="s">
        <v>42</v>
      </c>
      <c r="N84" s="9"/>
    </row>
    <row r="85" customFormat="false" ht="23.85" hidden="false" customHeight="false" outlineLevel="0" collapsed="false">
      <c r="A85" s="8" t="s">
        <v>397</v>
      </c>
      <c r="B85" s="8" t="s">
        <v>36</v>
      </c>
      <c r="C85" s="8" t="s">
        <v>352</v>
      </c>
      <c r="D85" s="8" t="s">
        <v>398</v>
      </c>
      <c r="E85" s="8" t="s">
        <v>18</v>
      </c>
      <c r="F85" s="8" t="s">
        <v>25</v>
      </c>
      <c r="G85" s="8" t="s">
        <v>28</v>
      </c>
      <c r="H85" s="8" t="s">
        <v>399</v>
      </c>
      <c r="I85" s="8" t="s">
        <v>400</v>
      </c>
      <c r="J85" s="8" t="s">
        <v>132</v>
      </c>
      <c r="K85" s="8" t="s">
        <v>67</v>
      </c>
      <c r="L85" s="8"/>
      <c r="M85" s="9" t="s">
        <v>42</v>
      </c>
      <c r="N85" s="9"/>
    </row>
    <row r="86" customFormat="false" ht="23.85" hidden="false" customHeight="false" outlineLevel="0" collapsed="false">
      <c r="A86" s="8" t="s">
        <v>401</v>
      </c>
      <c r="B86" s="8" t="s">
        <v>36</v>
      </c>
      <c r="C86" s="8" t="s">
        <v>371</v>
      </c>
      <c r="D86" s="8" t="s">
        <v>402</v>
      </c>
      <c r="E86" s="8" t="s">
        <v>17</v>
      </c>
      <c r="F86" s="8" t="s">
        <v>25</v>
      </c>
      <c r="G86" s="8" t="s">
        <v>29</v>
      </c>
      <c r="H86" s="8" t="s">
        <v>403</v>
      </c>
      <c r="I86" s="8" t="s">
        <v>404</v>
      </c>
      <c r="J86" s="8" t="s">
        <v>158</v>
      </c>
      <c r="K86" s="8" t="s">
        <v>67</v>
      </c>
      <c r="L86" s="8"/>
      <c r="M86" s="9" t="s">
        <v>42</v>
      </c>
      <c r="N86" s="9"/>
    </row>
    <row r="87" customFormat="false" ht="23.85" hidden="false" customHeight="false" outlineLevel="0" collapsed="false">
      <c r="A87" s="8" t="s">
        <v>405</v>
      </c>
      <c r="B87" s="8" t="s">
        <v>36</v>
      </c>
      <c r="C87" s="8" t="s">
        <v>352</v>
      </c>
      <c r="D87" s="8" t="s">
        <v>406</v>
      </c>
      <c r="E87" s="8" t="s">
        <v>17</v>
      </c>
      <c r="F87" s="8" t="s">
        <v>25</v>
      </c>
      <c r="G87" s="8" t="s">
        <v>30</v>
      </c>
      <c r="H87" s="8" t="s">
        <v>407</v>
      </c>
      <c r="I87" s="8" t="s">
        <v>408</v>
      </c>
      <c r="J87" s="8" t="s">
        <v>91</v>
      </c>
      <c r="K87" s="8" t="s">
        <v>91</v>
      </c>
      <c r="L87" s="8"/>
      <c r="M87" s="9" t="s">
        <v>42</v>
      </c>
      <c r="N87" s="9"/>
    </row>
    <row r="88" customFormat="false" ht="15" hidden="false" customHeight="false" outlineLevel="0" collapsed="false">
      <c r="A88" s="8" t="s">
        <v>409</v>
      </c>
      <c r="B88" s="8" t="s">
        <v>37</v>
      </c>
      <c r="C88" s="8" t="s">
        <v>410</v>
      </c>
      <c r="D88" s="8" t="s">
        <v>411</v>
      </c>
      <c r="E88" s="8" t="s">
        <v>16</v>
      </c>
      <c r="F88" s="8" t="s">
        <v>16</v>
      </c>
      <c r="G88" s="8" t="s">
        <v>29</v>
      </c>
      <c r="H88" s="8" t="s">
        <v>412</v>
      </c>
      <c r="I88" s="8" t="s">
        <v>413</v>
      </c>
      <c r="J88" s="8" t="s">
        <v>195</v>
      </c>
      <c r="K88" s="8" t="s">
        <v>67</v>
      </c>
      <c r="L88" s="8"/>
      <c r="M88" s="9" t="s">
        <v>42</v>
      </c>
      <c r="N88" s="9"/>
    </row>
    <row r="89" customFormat="false" ht="15" hidden="false" customHeight="false" outlineLevel="0" collapsed="false">
      <c r="A89" s="8" t="s">
        <v>414</v>
      </c>
      <c r="B89" s="8" t="s">
        <v>37</v>
      </c>
      <c r="C89" s="8" t="s">
        <v>410</v>
      </c>
      <c r="D89" s="8" t="s">
        <v>415</v>
      </c>
      <c r="E89" s="8" t="s">
        <v>16</v>
      </c>
      <c r="F89" s="8" t="s">
        <v>16</v>
      </c>
      <c r="G89" s="8" t="s">
        <v>29</v>
      </c>
      <c r="H89" s="8" t="s">
        <v>416</v>
      </c>
      <c r="I89" s="8" t="s">
        <v>417</v>
      </c>
      <c r="J89" s="8" t="s">
        <v>66</v>
      </c>
      <c r="K89" s="8" t="s">
        <v>67</v>
      </c>
      <c r="L89" s="8"/>
      <c r="M89" s="9" t="s">
        <v>42</v>
      </c>
      <c r="N89" s="9"/>
    </row>
    <row r="90" customFormat="false" ht="15" hidden="false" customHeight="false" outlineLevel="0" collapsed="false">
      <c r="A90" s="8" t="s">
        <v>418</v>
      </c>
      <c r="B90" s="8" t="s">
        <v>37</v>
      </c>
      <c r="C90" s="8" t="s">
        <v>410</v>
      </c>
      <c r="D90" s="8" t="s">
        <v>419</v>
      </c>
      <c r="E90" s="8" t="s">
        <v>16</v>
      </c>
      <c r="F90" s="8" t="s">
        <v>16</v>
      </c>
      <c r="G90" s="8" t="s">
        <v>28</v>
      </c>
      <c r="H90" s="8" t="s">
        <v>420</v>
      </c>
      <c r="I90" s="8" t="s">
        <v>421</v>
      </c>
      <c r="J90" s="8" t="s">
        <v>66</v>
      </c>
      <c r="K90" s="8" t="s">
        <v>67</v>
      </c>
      <c r="L90" s="8"/>
      <c r="M90" s="9" t="s">
        <v>42</v>
      </c>
      <c r="N90" s="9"/>
    </row>
    <row r="91" customFormat="false" ht="15" hidden="false" customHeight="false" outlineLevel="0" collapsed="false">
      <c r="A91" s="8" t="s">
        <v>422</v>
      </c>
      <c r="B91" s="8" t="s">
        <v>37</v>
      </c>
      <c r="C91" s="8" t="s">
        <v>410</v>
      </c>
      <c r="D91" s="8" t="s">
        <v>423</v>
      </c>
      <c r="E91" s="8" t="s">
        <v>21</v>
      </c>
      <c r="F91" s="8" t="s">
        <v>16</v>
      </c>
      <c r="G91" s="8" t="s">
        <v>29</v>
      </c>
      <c r="H91" s="8" t="s">
        <v>424</v>
      </c>
      <c r="I91" s="8" t="s">
        <v>142</v>
      </c>
      <c r="J91" s="8" t="s">
        <v>66</v>
      </c>
      <c r="K91" s="8" t="s">
        <v>67</v>
      </c>
      <c r="L91" s="8"/>
      <c r="M91" s="9" t="s">
        <v>42</v>
      </c>
      <c r="N91" s="9"/>
    </row>
    <row r="92" customFormat="false" ht="15" hidden="false" customHeight="false" outlineLevel="0" collapsed="false">
      <c r="A92" s="8" t="s">
        <v>425</v>
      </c>
      <c r="B92" s="8" t="s">
        <v>37</v>
      </c>
      <c r="C92" s="8" t="s">
        <v>410</v>
      </c>
      <c r="D92" s="8" t="s">
        <v>426</v>
      </c>
      <c r="E92" s="8" t="s">
        <v>21</v>
      </c>
      <c r="F92" s="8" t="s">
        <v>16</v>
      </c>
      <c r="G92" s="8" t="s">
        <v>29</v>
      </c>
      <c r="H92" s="8" t="s">
        <v>427</v>
      </c>
      <c r="I92" s="8" t="s">
        <v>428</v>
      </c>
      <c r="J92" s="8" t="s">
        <v>195</v>
      </c>
      <c r="K92" s="8" t="s">
        <v>67</v>
      </c>
      <c r="L92" s="8"/>
      <c r="M92" s="9" t="s">
        <v>42</v>
      </c>
      <c r="N92" s="9"/>
    </row>
    <row r="93" customFormat="false" ht="15" hidden="false" customHeight="false" outlineLevel="0" collapsed="false">
      <c r="A93" s="8" t="s">
        <v>429</v>
      </c>
      <c r="B93" s="8" t="s">
        <v>38</v>
      </c>
      <c r="C93" s="8" t="s">
        <v>430</v>
      </c>
      <c r="D93" s="8" t="s">
        <v>431</v>
      </c>
      <c r="E93" s="8" t="s">
        <v>22</v>
      </c>
      <c r="F93" s="8" t="s">
        <v>25</v>
      </c>
      <c r="G93" s="8" t="s">
        <v>29</v>
      </c>
      <c r="H93" s="8" t="s">
        <v>432</v>
      </c>
      <c r="I93" s="8" t="s">
        <v>433</v>
      </c>
      <c r="J93" s="8" t="s">
        <v>158</v>
      </c>
      <c r="K93" s="8" t="s">
        <v>67</v>
      </c>
      <c r="L93" s="8" t="s">
        <v>434</v>
      </c>
      <c r="M93" s="9" t="s">
        <v>42</v>
      </c>
      <c r="N93" s="9"/>
    </row>
    <row r="94" customFormat="false" ht="15" hidden="false" customHeight="false" outlineLevel="0" collapsed="false">
      <c r="A94" s="8" t="s">
        <v>435</v>
      </c>
      <c r="B94" s="8" t="s">
        <v>38</v>
      </c>
      <c r="C94" s="8" t="s">
        <v>430</v>
      </c>
      <c r="D94" s="8" t="s">
        <v>436</v>
      </c>
      <c r="E94" s="8" t="s">
        <v>22</v>
      </c>
      <c r="F94" s="8" t="s">
        <v>25</v>
      </c>
      <c r="G94" s="8" t="s">
        <v>29</v>
      </c>
      <c r="H94" s="8" t="s">
        <v>437</v>
      </c>
      <c r="I94" s="8" t="s">
        <v>433</v>
      </c>
      <c r="J94" s="8" t="s">
        <v>132</v>
      </c>
      <c r="K94" s="8" t="s">
        <v>67</v>
      </c>
      <c r="L94" s="8" t="s">
        <v>438</v>
      </c>
      <c r="M94" s="9" t="s">
        <v>42</v>
      </c>
      <c r="N94" s="9"/>
    </row>
    <row r="95" customFormat="false" ht="15" hidden="false" customHeight="false" outlineLevel="0" collapsed="false">
      <c r="A95" s="8" t="s">
        <v>439</v>
      </c>
      <c r="B95" s="8" t="s">
        <v>38</v>
      </c>
      <c r="C95" s="8" t="s">
        <v>430</v>
      </c>
      <c r="D95" s="8" t="s">
        <v>440</v>
      </c>
      <c r="E95" s="8" t="s">
        <v>22</v>
      </c>
      <c r="F95" s="8" t="s">
        <v>25</v>
      </c>
      <c r="G95" s="8" t="s">
        <v>30</v>
      </c>
      <c r="H95" s="8" t="s">
        <v>441</v>
      </c>
      <c r="I95" s="8" t="s">
        <v>433</v>
      </c>
      <c r="J95" s="8" t="s">
        <v>158</v>
      </c>
      <c r="K95" s="8" t="s">
        <v>67</v>
      </c>
      <c r="L95" s="8"/>
      <c r="M95" s="9" t="s">
        <v>42</v>
      </c>
      <c r="N95" s="9"/>
    </row>
    <row r="96" customFormat="false" ht="15" hidden="false" customHeight="false" outlineLevel="0" collapsed="false">
      <c r="A96" s="8" t="s">
        <v>442</v>
      </c>
      <c r="B96" s="8" t="s">
        <v>38</v>
      </c>
      <c r="C96" s="8" t="s">
        <v>430</v>
      </c>
      <c r="D96" s="8" t="s">
        <v>443</v>
      </c>
      <c r="E96" s="8" t="s">
        <v>22</v>
      </c>
      <c r="F96" s="8" t="s">
        <v>25</v>
      </c>
      <c r="G96" s="8" t="s">
        <v>28</v>
      </c>
      <c r="H96" s="8" t="s">
        <v>444</v>
      </c>
      <c r="I96" s="8" t="s">
        <v>445</v>
      </c>
      <c r="J96" s="8" t="s">
        <v>158</v>
      </c>
      <c r="K96" s="8" t="s">
        <v>67</v>
      </c>
      <c r="L96" s="8" t="s">
        <v>446</v>
      </c>
      <c r="M96" s="9" t="s">
        <v>42</v>
      </c>
      <c r="N96" s="9"/>
    </row>
    <row r="97" customFormat="false" ht="15" hidden="false" customHeight="false" outlineLevel="0" collapsed="false">
      <c r="A97" s="8" t="s">
        <v>447</v>
      </c>
      <c r="B97" s="8" t="s">
        <v>38</v>
      </c>
      <c r="C97" s="8" t="s">
        <v>430</v>
      </c>
      <c r="D97" s="8" t="s">
        <v>448</v>
      </c>
      <c r="E97" s="8" t="s">
        <v>22</v>
      </c>
      <c r="F97" s="8" t="s">
        <v>25</v>
      </c>
      <c r="G97" s="8" t="s">
        <v>29</v>
      </c>
      <c r="H97" s="8" t="s">
        <v>449</v>
      </c>
      <c r="I97" s="8" t="s">
        <v>450</v>
      </c>
      <c r="J97" s="8" t="s">
        <v>91</v>
      </c>
      <c r="K97" s="8" t="s">
        <v>91</v>
      </c>
      <c r="L97" s="8" t="s">
        <v>446</v>
      </c>
      <c r="M97" s="9" t="s">
        <v>42</v>
      </c>
      <c r="N97" s="9"/>
    </row>
    <row r="98" customFormat="false" ht="15" hidden="false" customHeight="false" outlineLevel="0" collapsed="false">
      <c r="A98" s="8" t="s">
        <v>451</v>
      </c>
      <c r="B98" s="8" t="s">
        <v>38</v>
      </c>
      <c r="C98" s="8" t="s">
        <v>430</v>
      </c>
      <c r="D98" s="8" t="s">
        <v>452</v>
      </c>
      <c r="E98" s="8" t="s">
        <v>22</v>
      </c>
      <c r="F98" s="8" t="s">
        <v>25</v>
      </c>
      <c r="G98" s="8" t="s">
        <v>29</v>
      </c>
      <c r="H98" s="8" t="s">
        <v>453</v>
      </c>
      <c r="I98" s="8" t="s">
        <v>454</v>
      </c>
      <c r="J98" s="8" t="s">
        <v>91</v>
      </c>
      <c r="K98" s="8" t="s">
        <v>91</v>
      </c>
      <c r="L98" s="8" t="s">
        <v>133</v>
      </c>
      <c r="M98" s="9" t="s">
        <v>42</v>
      </c>
      <c r="N98" s="9"/>
    </row>
    <row r="99" customFormat="false" ht="15" hidden="false" customHeight="false" outlineLevel="0" collapsed="false">
      <c r="A99" s="8" t="s">
        <v>455</v>
      </c>
      <c r="B99" s="8" t="s">
        <v>38</v>
      </c>
      <c r="C99" s="8" t="s">
        <v>430</v>
      </c>
      <c r="D99" s="8" t="s">
        <v>456</v>
      </c>
      <c r="E99" s="8" t="s">
        <v>22</v>
      </c>
      <c r="F99" s="8" t="s">
        <v>25</v>
      </c>
      <c r="G99" s="8" t="s">
        <v>29</v>
      </c>
      <c r="H99" s="8" t="s">
        <v>457</v>
      </c>
      <c r="I99" s="8" t="s">
        <v>458</v>
      </c>
      <c r="J99" s="8" t="s">
        <v>459</v>
      </c>
      <c r="K99" s="8" t="s">
        <v>241</v>
      </c>
      <c r="L99" s="8" t="s">
        <v>434</v>
      </c>
      <c r="M99" s="9" t="s">
        <v>42</v>
      </c>
      <c r="N99" s="9"/>
    </row>
    <row r="100" customFormat="false" ht="15" hidden="false" customHeight="false" outlineLevel="0" collapsed="false">
      <c r="A100" s="8" t="s">
        <v>460</v>
      </c>
      <c r="B100" s="8" t="s">
        <v>38</v>
      </c>
      <c r="C100" s="8" t="s">
        <v>430</v>
      </c>
      <c r="D100" s="8" t="s">
        <v>461</v>
      </c>
      <c r="E100" s="8" t="s">
        <v>22</v>
      </c>
      <c r="F100" s="8" t="s">
        <v>25</v>
      </c>
      <c r="G100" s="8" t="s">
        <v>30</v>
      </c>
      <c r="H100" s="8" t="s">
        <v>462</v>
      </c>
      <c r="I100" s="8" t="s">
        <v>463</v>
      </c>
      <c r="J100" s="8" t="s">
        <v>459</v>
      </c>
      <c r="K100" s="8" t="s">
        <v>241</v>
      </c>
      <c r="L100" s="8" t="s">
        <v>438</v>
      </c>
      <c r="M100" s="9" t="s">
        <v>42</v>
      </c>
      <c r="N100" s="9"/>
    </row>
    <row r="101" customFormat="false" ht="15" hidden="false" customHeight="false" outlineLevel="0" collapsed="false">
      <c r="A101" s="8" t="s">
        <v>464</v>
      </c>
      <c r="B101" s="8" t="s">
        <v>38</v>
      </c>
      <c r="C101" s="8" t="s">
        <v>430</v>
      </c>
      <c r="D101" s="8" t="s">
        <v>465</v>
      </c>
      <c r="E101" s="8" t="s">
        <v>22</v>
      </c>
      <c r="F101" s="8" t="s">
        <v>25</v>
      </c>
      <c r="G101" s="8" t="s">
        <v>29</v>
      </c>
      <c r="H101" s="8" t="s">
        <v>466</v>
      </c>
      <c r="I101" s="8" t="s">
        <v>467</v>
      </c>
      <c r="J101" s="8" t="s">
        <v>468</v>
      </c>
      <c r="K101" s="8" t="s">
        <v>241</v>
      </c>
      <c r="L101" s="8" t="s">
        <v>469</v>
      </c>
      <c r="M101" s="9" t="s">
        <v>42</v>
      </c>
      <c r="N101" s="9"/>
    </row>
    <row r="102" customFormat="false" ht="15" hidden="false" customHeight="false" outlineLevel="0" collapsed="false">
      <c r="A102" s="8" t="s">
        <v>470</v>
      </c>
      <c r="B102" s="8" t="s">
        <v>38</v>
      </c>
      <c r="C102" s="8" t="s">
        <v>430</v>
      </c>
      <c r="D102" s="8" t="s">
        <v>471</v>
      </c>
      <c r="E102" s="8" t="s">
        <v>22</v>
      </c>
      <c r="F102" s="8" t="s">
        <v>25</v>
      </c>
      <c r="G102" s="8" t="s">
        <v>30</v>
      </c>
      <c r="H102" s="8" t="s">
        <v>472</v>
      </c>
      <c r="I102" s="8" t="s">
        <v>473</v>
      </c>
      <c r="J102" s="8" t="s">
        <v>91</v>
      </c>
      <c r="K102" s="8" t="s">
        <v>91</v>
      </c>
      <c r="L102" s="8"/>
      <c r="M102" s="9" t="s">
        <v>42</v>
      </c>
      <c r="N102" s="9"/>
    </row>
    <row r="103" customFormat="false" ht="15" hidden="false" customHeight="false" outlineLevel="0" collapsed="false">
      <c r="A103" s="8" t="s">
        <v>474</v>
      </c>
      <c r="B103" s="8" t="s">
        <v>38</v>
      </c>
      <c r="C103" s="8" t="s">
        <v>430</v>
      </c>
      <c r="D103" s="8" t="s">
        <v>475</v>
      </c>
      <c r="E103" s="8" t="s">
        <v>22</v>
      </c>
      <c r="F103" s="8" t="s">
        <v>25</v>
      </c>
      <c r="G103" s="8" t="s">
        <v>30</v>
      </c>
      <c r="H103" s="8" t="s">
        <v>476</v>
      </c>
      <c r="I103" s="8" t="s">
        <v>477</v>
      </c>
      <c r="J103" s="8" t="s">
        <v>478</v>
      </c>
      <c r="K103" s="8" t="s">
        <v>67</v>
      </c>
      <c r="L103" s="8"/>
      <c r="M103" s="9" t="s">
        <v>42</v>
      </c>
      <c r="N103" s="9"/>
    </row>
    <row r="104" customFormat="false" ht="23.85" hidden="false" customHeight="false" outlineLevel="0" collapsed="false">
      <c r="A104" s="8" t="s">
        <v>479</v>
      </c>
      <c r="B104" s="8" t="s">
        <v>39</v>
      </c>
      <c r="C104" s="8" t="s">
        <v>480</v>
      </c>
      <c r="D104" s="8" t="s">
        <v>481</v>
      </c>
      <c r="E104" s="8" t="s">
        <v>20</v>
      </c>
      <c r="F104" s="8" t="s">
        <v>25</v>
      </c>
      <c r="G104" s="8" t="s">
        <v>29</v>
      </c>
      <c r="H104" s="8" t="s">
        <v>482</v>
      </c>
      <c r="I104" s="8" t="s">
        <v>483</v>
      </c>
      <c r="J104" s="8" t="s">
        <v>132</v>
      </c>
      <c r="K104" s="8" t="s">
        <v>67</v>
      </c>
      <c r="L104" s="8" t="s">
        <v>469</v>
      </c>
      <c r="M104" s="9" t="s">
        <v>42</v>
      </c>
      <c r="N104" s="9"/>
    </row>
    <row r="105" customFormat="false" ht="23.85" hidden="false" customHeight="false" outlineLevel="0" collapsed="false">
      <c r="A105" s="8" t="s">
        <v>484</v>
      </c>
      <c r="B105" s="8" t="s">
        <v>39</v>
      </c>
      <c r="C105" s="8" t="s">
        <v>480</v>
      </c>
      <c r="D105" s="8" t="s">
        <v>485</v>
      </c>
      <c r="E105" s="8" t="s">
        <v>20</v>
      </c>
      <c r="F105" s="8" t="s">
        <v>25</v>
      </c>
      <c r="G105" s="8" t="s">
        <v>30</v>
      </c>
      <c r="H105" s="8" t="s">
        <v>486</v>
      </c>
      <c r="I105" s="8" t="s">
        <v>487</v>
      </c>
      <c r="J105" s="8" t="s">
        <v>158</v>
      </c>
      <c r="K105" s="8" t="s">
        <v>67</v>
      </c>
      <c r="L105" s="8" t="s">
        <v>469</v>
      </c>
      <c r="M105" s="9" t="s">
        <v>42</v>
      </c>
      <c r="N105" s="9"/>
    </row>
    <row r="106" customFormat="false" ht="23.85" hidden="false" customHeight="false" outlineLevel="0" collapsed="false">
      <c r="A106" s="8" t="s">
        <v>488</v>
      </c>
      <c r="B106" s="8" t="s">
        <v>39</v>
      </c>
      <c r="C106" s="8" t="s">
        <v>480</v>
      </c>
      <c r="D106" s="8" t="s">
        <v>489</v>
      </c>
      <c r="E106" s="8" t="s">
        <v>20</v>
      </c>
      <c r="F106" s="8" t="s">
        <v>25</v>
      </c>
      <c r="G106" s="8" t="s">
        <v>29</v>
      </c>
      <c r="H106" s="8" t="s">
        <v>486</v>
      </c>
      <c r="I106" s="8" t="s">
        <v>487</v>
      </c>
      <c r="J106" s="8" t="s">
        <v>158</v>
      </c>
      <c r="K106" s="8" t="s">
        <v>67</v>
      </c>
      <c r="L106" s="8" t="s">
        <v>469</v>
      </c>
      <c r="M106" s="9" t="s">
        <v>42</v>
      </c>
      <c r="N106" s="9"/>
    </row>
    <row r="107" customFormat="false" ht="23.85" hidden="false" customHeight="false" outlineLevel="0" collapsed="false">
      <c r="A107" s="8" t="s">
        <v>490</v>
      </c>
      <c r="B107" s="8" t="s">
        <v>39</v>
      </c>
      <c r="C107" s="8" t="s">
        <v>480</v>
      </c>
      <c r="D107" s="8" t="s">
        <v>491</v>
      </c>
      <c r="E107" s="8" t="s">
        <v>20</v>
      </c>
      <c r="F107" s="8" t="s">
        <v>25</v>
      </c>
      <c r="G107" s="8" t="s">
        <v>30</v>
      </c>
      <c r="H107" s="8" t="s">
        <v>486</v>
      </c>
      <c r="I107" s="8" t="s">
        <v>487</v>
      </c>
      <c r="J107" s="8" t="s">
        <v>158</v>
      </c>
      <c r="K107" s="8" t="s">
        <v>67</v>
      </c>
      <c r="L107" s="8" t="s">
        <v>469</v>
      </c>
      <c r="M107" s="9" t="s">
        <v>42</v>
      </c>
      <c r="N107" s="9"/>
    </row>
    <row r="108" customFormat="false" ht="23.85" hidden="false" customHeight="false" outlineLevel="0" collapsed="false">
      <c r="A108" s="8" t="s">
        <v>492</v>
      </c>
      <c r="B108" s="8" t="s">
        <v>39</v>
      </c>
      <c r="C108" s="8" t="s">
        <v>480</v>
      </c>
      <c r="D108" s="8" t="s">
        <v>493</v>
      </c>
      <c r="E108" s="8" t="s">
        <v>20</v>
      </c>
      <c r="F108" s="8" t="s">
        <v>25</v>
      </c>
      <c r="G108" s="8" t="s">
        <v>31</v>
      </c>
      <c r="H108" s="8" t="s">
        <v>486</v>
      </c>
      <c r="I108" s="8" t="s">
        <v>494</v>
      </c>
      <c r="J108" s="8" t="s">
        <v>158</v>
      </c>
      <c r="K108" s="8" t="s">
        <v>67</v>
      </c>
      <c r="L108" s="8"/>
      <c r="M108" s="9" t="s">
        <v>42</v>
      </c>
      <c r="N108" s="9"/>
    </row>
    <row r="109" customFormat="false" ht="23.85" hidden="false" customHeight="false" outlineLevel="0" collapsed="false">
      <c r="A109" s="8" t="s">
        <v>495</v>
      </c>
      <c r="B109" s="8" t="s">
        <v>39</v>
      </c>
      <c r="C109" s="8" t="s">
        <v>496</v>
      </c>
      <c r="D109" s="8" t="s">
        <v>497</v>
      </c>
      <c r="E109" s="8" t="s">
        <v>20</v>
      </c>
      <c r="F109" s="8" t="s">
        <v>25</v>
      </c>
      <c r="G109" s="8" t="s">
        <v>28</v>
      </c>
      <c r="H109" s="8" t="s">
        <v>498</v>
      </c>
      <c r="I109" s="8" t="s">
        <v>499</v>
      </c>
      <c r="J109" s="8" t="s">
        <v>500</v>
      </c>
      <c r="K109" s="8" t="s">
        <v>67</v>
      </c>
      <c r="L109" s="8"/>
      <c r="M109" s="9" t="s">
        <v>42</v>
      </c>
      <c r="N109" s="9"/>
    </row>
    <row r="110" customFormat="false" ht="23.85" hidden="false" customHeight="false" outlineLevel="0" collapsed="false">
      <c r="A110" s="8" t="s">
        <v>501</v>
      </c>
      <c r="B110" s="8" t="s">
        <v>39</v>
      </c>
      <c r="C110" s="8" t="s">
        <v>496</v>
      </c>
      <c r="D110" s="8" t="s">
        <v>502</v>
      </c>
      <c r="E110" s="8" t="s">
        <v>20</v>
      </c>
      <c r="F110" s="8" t="s">
        <v>25</v>
      </c>
      <c r="G110" s="8" t="s">
        <v>28</v>
      </c>
      <c r="H110" s="8" t="s">
        <v>503</v>
      </c>
      <c r="I110" s="8" t="s">
        <v>499</v>
      </c>
      <c r="J110" s="8" t="s">
        <v>500</v>
      </c>
      <c r="K110" s="8" t="s">
        <v>67</v>
      </c>
      <c r="L110" s="8"/>
      <c r="M110" s="9" t="s">
        <v>42</v>
      </c>
      <c r="N110" s="9"/>
    </row>
    <row r="111" customFormat="false" ht="23.85" hidden="false" customHeight="false" outlineLevel="0" collapsed="false">
      <c r="A111" s="8" t="s">
        <v>504</v>
      </c>
      <c r="B111" s="8" t="s">
        <v>39</v>
      </c>
      <c r="C111" s="8" t="s">
        <v>496</v>
      </c>
      <c r="D111" s="8" t="s">
        <v>505</v>
      </c>
      <c r="E111" s="8" t="s">
        <v>20</v>
      </c>
      <c r="F111" s="8" t="s">
        <v>25</v>
      </c>
      <c r="G111" s="8" t="s">
        <v>29</v>
      </c>
      <c r="H111" s="8" t="s">
        <v>506</v>
      </c>
      <c r="I111" s="8" t="s">
        <v>499</v>
      </c>
      <c r="J111" s="8" t="s">
        <v>500</v>
      </c>
      <c r="K111" s="8" t="s">
        <v>67</v>
      </c>
      <c r="L111" s="8"/>
      <c r="M111" s="9" t="s">
        <v>42</v>
      </c>
      <c r="N111" s="9"/>
    </row>
    <row r="112" customFormat="false" ht="23.85" hidden="false" customHeight="false" outlineLevel="0" collapsed="false">
      <c r="A112" s="8" t="s">
        <v>507</v>
      </c>
      <c r="B112" s="8" t="s">
        <v>39</v>
      </c>
      <c r="C112" s="8" t="s">
        <v>496</v>
      </c>
      <c r="D112" s="8" t="s">
        <v>508</v>
      </c>
      <c r="E112" s="8" t="s">
        <v>20</v>
      </c>
      <c r="F112" s="8" t="s">
        <v>25</v>
      </c>
      <c r="G112" s="8" t="s">
        <v>29</v>
      </c>
      <c r="H112" s="8" t="s">
        <v>509</v>
      </c>
      <c r="I112" s="8" t="s">
        <v>499</v>
      </c>
      <c r="J112" s="8" t="s">
        <v>478</v>
      </c>
      <c r="K112" s="8" t="s">
        <v>67</v>
      </c>
      <c r="L112" s="8"/>
      <c r="M112" s="9" t="s">
        <v>42</v>
      </c>
      <c r="N112" s="9"/>
    </row>
    <row r="113" customFormat="false" ht="23.85" hidden="false" customHeight="false" outlineLevel="0" collapsed="false">
      <c r="A113" s="8" t="s">
        <v>510</v>
      </c>
      <c r="B113" s="8" t="s">
        <v>39</v>
      </c>
      <c r="C113" s="8" t="s">
        <v>496</v>
      </c>
      <c r="D113" s="8" t="s">
        <v>511</v>
      </c>
      <c r="E113" s="8" t="s">
        <v>20</v>
      </c>
      <c r="F113" s="8" t="s">
        <v>25</v>
      </c>
      <c r="G113" s="8" t="s">
        <v>29</v>
      </c>
      <c r="H113" s="8" t="s">
        <v>512</v>
      </c>
      <c r="I113" s="8" t="s">
        <v>499</v>
      </c>
      <c r="J113" s="8" t="s">
        <v>478</v>
      </c>
      <c r="K113" s="8" t="s">
        <v>67</v>
      </c>
      <c r="L113" s="8"/>
      <c r="M113" s="9" t="s">
        <v>42</v>
      </c>
      <c r="N113" s="9"/>
    </row>
    <row r="114" customFormat="false" ht="23.85" hidden="false" customHeight="false" outlineLevel="0" collapsed="false">
      <c r="A114" s="8" t="s">
        <v>513</v>
      </c>
      <c r="B114" s="8" t="s">
        <v>39</v>
      </c>
      <c r="C114" s="8" t="s">
        <v>496</v>
      </c>
      <c r="D114" s="8" t="s">
        <v>514</v>
      </c>
      <c r="E114" s="8" t="s">
        <v>20</v>
      </c>
      <c r="F114" s="8" t="s">
        <v>25</v>
      </c>
      <c r="G114" s="8" t="s">
        <v>29</v>
      </c>
      <c r="H114" s="8" t="s">
        <v>515</v>
      </c>
      <c r="I114" s="8" t="s">
        <v>499</v>
      </c>
      <c r="J114" s="8" t="s">
        <v>478</v>
      </c>
      <c r="K114" s="8" t="s">
        <v>67</v>
      </c>
      <c r="L114" s="8"/>
      <c r="M114" s="9" t="s">
        <v>42</v>
      </c>
      <c r="N114" s="9"/>
    </row>
    <row r="115" customFormat="false" ht="23.85" hidden="false" customHeight="false" outlineLevel="0" collapsed="false">
      <c r="A115" s="8" t="s">
        <v>516</v>
      </c>
      <c r="B115" s="8" t="s">
        <v>39</v>
      </c>
      <c r="C115" s="8" t="s">
        <v>496</v>
      </c>
      <c r="D115" s="8" t="s">
        <v>517</v>
      </c>
      <c r="E115" s="8" t="s">
        <v>20</v>
      </c>
      <c r="F115" s="8" t="s">
        <v>25</v>
      </c>
      <c r="G115" s="8" t="s">
        <v>30</v>
      </c>
      <c r="H115" s="8" t="s">
        <v>518</v>
      </c>
      <c r="I115" s="8" t="s">
        <v>519</v>
      </c>
      <c r="J115" s="8" t="s">
        <v>91</v>
      </c>
      <c r="K115" s="8" t="s">
        <v>91</v>
      </c>
      <c r="L115" s="8"/>
      <c r="M115" s="9" t="s">
        <v>42</v>
      </c>
      <c r="N115" s="9"/>
    </row>
    <row r="116" customFormat="false" ht="23.85" hidden="false" customHeight="false" outlineLevel="0" collapsed="false">
      <c r="A116" s="8" t="s">
        <v>520</v>
      </c>
      <c r="B116" s="8" t="s">
        <v>39</v>
      </c>
      <c r="C116" s="8" t="s">
        <v>496</v>
      </c>
      <c r="D116" s="8" t="s">
        <v>521</v>
      </c>
      <c r="E116" s="8" t="s">
        <v>20</v>
      </c>
      <c r="F116" s="8" t="s">
        <v>25</v>
      </c>
      <c r="G116" s="8" t="s">
        <v>30</v>
      </c>
      <c r="H116" s="8" t="s">
        <v>522</v>
      </c>
      <c r="I116" s="8" t="s">
        <v>519</v>
      </c>
      <c r="J116" s="8" t="s">
        <v>91</v>
      </c>
      <c r="K116" s="8" t="s">
        <v>91</v>
      </c>
      <c r="L116" s="8"/>
      <c r="M116" s="9" t="s">
        <v>42</v>
      </c>
      <c r="N116" s="9"/>
    </row>
    <row r="117" customFormat="false" ht="23.85" hidden="false" customHeight="false" outlineLevel="0" collapsed="false">
      <c r="A117" s="8" t="s">
        <v>523</v>
      </c>
      <c r="B117" s="8" t="s">
        <v>39</v>
      </c>
      <c r="C117" s="8" t="s">
        <v>480</v>
      </c>
      <c r="D117" s="8" t="s">
        <v>524</v>
      </c>
      <c r="E117" s="8" t="s">
        <v>17</v>
      </c>
      <c r="F117" s="8" t="s">
        <v>25</v>
      </c>
      <c r="G117" s="8" t="s">
        <v>29</v>
      </c>
      <c r="H117" s="8" t="s">
        <v>525</v>
      </c>
      <c r="I117" s="8" t="s">
        <v>526</v>
      </c>
      <c r="J117" s="8" t="s">
        <v>91</v>
      </c>
      <c r="K117" s="8" t="s">
        <v>91</v>
      </c>
      <c r="L117" s="8"/>
      <c r="M117" s="9" t="s">
        <v>42</v>
      </c>
      <c r="N117" s="9"/>
    </row>
    <row r="118" customFormat="false" ht="23.85" hidden="false" customHeight="false" outlineLevel="0" collapsed="false">
      <c r="A118" s="8" t="s">
        <v>527</v>
      </c>
      <c r="B118" s="8" t="s">
        <v>39</v>
      </c>
      <c r="C118" s="8" t="s">
        <v>135</v>
      </c>
      <c r="D118" s="8" t="s">
        <v>528</v>
      </c>
      <c r="E118" s="8" t="s">
        <v>21</v>
      </c>
      <c r="F118" s="8" t="s">
        <v>25</v>
      </c>
      <c r="G118" s="8" t="s">
        <v>29</v>
      </c>
      <c r="H118" s="8" t="s">
        <v>529</v>
      </c>
      <c r="I118" s="8" t="s">
        <v>530</v>
      </c>
      <c r="J118" s="8" t="s">
        <v>91</v>
      </c>
      <c r="K118" s="8" t="s">
        <v>91</v>
      </c>
      <c r="L118" s="8"/>
      <c r="M118" s="9" t="s">
        <v>42</v>
      </c>
      <c r="N118" s="9"/>
    </row>
    <row r="119" customFormat="false" ht="15" hidden="false" customHeight="false" outlineLevel="0" collapsed="false">
      <c r="A119" s="8" t="s">
        <v>531</v>
      </c>
      <c r="B119" s="8" t="s">
        <v>26</v>
      </c>
      <c r="C119" s="8" t="s">
        <v>532</v>
      </c>
      <c r="D119" s="8" t="s">
        <v>533</v>
      </c>
      <c r="E119" s="8" t="s">
        <v>23</v>
      </c>
      <c r="F119" s="8" t="s">
        <v>26</v>
      </c>
      <c r="G119" s="8" t="s">
        <v>28</v>
      </c>
      <c r="H119" s="8" t="s">
        <v>534</v>
      </c>
      <c r="I119" s="8" t="s">
        <v>535</v>
      </c>
      <c r="J119" s="8" t="s">
        <v>536</v>
      </c>
      <c r="K119" s="8" t="s">
        <v>67</v>
      </c>
      <c r="L119" s="8" t="s">
        <v>182</v>
      </c>
      <c r="M119" s="9" t="s">
        <v>42</v>
      </c>
      <c r="N119" s="9"/>
    </row>
    <row r="120" customFormat="false" ht="15" hidden="false" customHeight="false" outlineLevel="0" collapsed="false">
      <c r="A120" s="8" t="s">
        <v>537</v>
      </c>
      <c r="B120" s="8" t="s">
        <v>26</v>
      </c>
      <c r="C120" s="8" t="s">
        <v>532</v>
      </c>
      <c r="D120" s="8" t="s">
        <v>538</v>
      </c>
      <c r="E120" s="8" t="s">
        <v>23</v>
      </c>
      <c r="F120" s="8" t="s">
        <v>26</v>
      </c>
      <c r="G120" s="8" t="s">
        <v>28</v>
      </c>
      <c r="H120" s="8" t="s">
        <v>539</v>
      </c>
      <c r="I120" s="8" t="s">
        <v>540</v>
      </c>
      <c r="J120" s="8" t="s">
        <v>536</v>
      </c>
      <c r="K120" s="8" t="s">
        <v>67</v>
      </c>
      <c r="L120" s="8" t="s">
        <v>187</v>
      </c>
      <c r="M120" s="9" t="s">
        <v>42</v>
      </c>
      <c r="N120" s="9"/>
    </row>
    <row r="121" customFormat="false" ht="15" hidden="false" customHeight="false" outlineLevel="0" collapsed="false">
      <c r="A121" s="8" t="s">
        <v>541</v>
      </c>
      <c r="B121" s="8" t="s">
        <v>26</v>
      </c>
      <c r="C121" s="8" t="s">
        <v>532</v>
      </c>
      <c r="D121" s="8" t="s">
        <v>542</v>
      </c>
      <c r="E121" s="8" t="s">
        <v>23</v>
      </c>
      <c r="F121" s="8" t="s">
        <v>26</v>
      </c>
      <c r="G121" s="8" t="s">
        <v>28</v>
      </c>
      <c r="H121" s="8" t="s">
        <v>539</v>
      </c>
      <c r="I121" s="8" t="s">
        <v>543</v>
      </c>
      <c r="J121" s="8" t="s">
        <v>536</v>
      </c>
      <c r="K121" s="8" t="s">
        <v>67</v>
      </c>
      <c r="L121" s="8" t="s">
        <v>369</v>
      </c>
      <c r="M121" s="9" t="s">
        <v>42</v>
      </c>
      <c r="N121" s="9"/>
    </row>
    <row r="122" customFormat="false" ht="15" hidden="false" customHeight="false" outlineLevel="0" collapsed="false">
      <c r="A122" s="8" t="s">
        <v>544</v>
      </c>
      <c r="B122" s="8" t="s">
        <v>26</v>
      </c>
      <c r="C122" s="8" t="s">
        <v>532</v>
      </c>
      <c r="D122" s="8" t="s">
        <v>545</v>
      </c>
      <c r="E122" s="8" t="s">
        <v>23</v>
      </c>
      <c r="F122" s="8" t="s">
        <v>26</v>
      </c>
      <c r="G122" s="8" t="s">
        <v>28</v>
      </c>
      <c r="H122" s="8" t="s">
        <v>539</v>
      </c>
      <c r="I122" s="8" t="s">
        <v>546</v>
      </c>
      <c r="J122" s="8" t="s">
        <v>536</v>
      </c>
      <c r="K122" s="8" t="s">
        <v>67</v>
      </c>
      <c r="L122" s="8" t="s">
        <v>364</v>
      </c>
      <c r="M122" s="9" t="s">
        <v>42</v>
      </c>
      <c r="N122" s="9"/>
    </row>
    <row r="123" customFormat="false" ht="15" hidden="false" customHeight="false" outlineLevel="0" collapsed="false">
      <c r="A123" s="8" t="s">
        <v>547</v>
      </c>
      <c r="B123" s="8" t="s">
        <v>26</v>
      </c>
      <c r="C123" s="8" t="s">
        <v>532</v>
      </c>
      <c r="D123" s="8" t="s">
        <v>548</v>
      </c>
      <c r="E123" s="8" t="s">
        <v>23</v>
      </c>
      <c r="F123" s="8" t="s">
        <v>26</v>
      </c>
      <c r="G123" s="8" t="s">
        <v>29</v>
      </c>
      <c r="H123" s="8" t="s">
        <v>539</v>
      </c>
      <c r="I123" s="8" t="s">
        <v>549</v>
      </c>
      <c r="J123" s="8" t="s">
        <v>536</v>
      </c>
      <c r="K123" s="8" t="s">
        <v>67</v>
      </c>
      <c r="L123" s="8" t="s">
        <v>381</v>
      </c>
      <c r="M123" s="9" t="s">
        <v>42</v>
      </c>
      <c r="N123" s="9"/>
    </row>
    <row r="124" customFormat="false" ht="15" hidden="false" customHeight="false" outlineLevel="0" collapsed="false">
      <c r="A124" s="8" t="s">
        <v>550</v>
      </c>
      <c r="B124" s="8" t="s">
        <v>26</v>
      </c>
      <c r="C124" s="8" t="s">
        <v>532</v>
      </c>
      <c r="D124" s="8" t="s">
        <v>551</v>
      </c>
      <c r="E124" s="8" t="s">
        <v>23</v>
      </c>
      <c r="F124" s="8" t="s">
        <v>26</v>
      </c>
      <c r="G124" s="8" t="s">
        <v>29</v>
      </c>
      <c r="H124" s="8" t="s">
        <v>539</v>
      </c>
      <c r="I124" s="8" t="s">
        <v>552</v>
      </c>
      <c r="J124" s="8" t="s">
        <v>536</v>
      </c>
      <c r="K124" s="8" t="s">
        <v>67</v>
      </c>
      <c r="L124" s="8"/>
      <c r="M124" s="9" t="s">
        <v>42</v>
      </c>
      <c r="N124" s="9"/>
    </row>
    <row r="125" customFormat="false" ht="15" hidden="false" customHeight="false" outlineLevel="0" collapsed="false">
      <c r="A125" s="8" t="s">
        <v>553</v>
      </c>
      <c r="B125" s="8" t="s">
        <v>26</v>
      </c>
      <c r="C125" s="8" t="s">
        <v>532</v>
      </c>
      <c r="D125" s="8" t="s">
        <v>554</v>
      </c>
      <c r="E125" s="8" t="s">
        <v>23</v>
      </c>
      <c r="F125" s="8" t="s">
        <v>26</v>
      </c>
      <c r="G125" s="8" t="s">
        <v>29</v>
      </c>
      <c r="H125" s="8" t="s">
        <v>539</v>
      </c>
      <c r="I125" s="8" t="s">
        <v>555</v>
      </c>
      <c r="J125" s="8" t="s">
        <v>536</v>
      </c>
      <c r="K125" s="8" t="s">
        <v>67</v>
      </c>
      <c r="L125" s="8"/>
      <c r="M125" s="9" t="s">
        <v>42</v>
      </c>
      <c r="N125" s="9"/>
    </row>
    <row r="126" customFormat="false" ht="15" hidden="false" customHeight="false" outlineLevel="0" collapsed="false">
      <c r="A126" s="8" t="s">
        <v>556</v>
      </c>
      <c r="B126" s="8" t="s">
        <v>26</v>
      </c>
      <c r="C126" s="8" t="s">
        <v>532</v>
      </c>
      <c r="D126" s="8" t="s">
        <v>557</v>
      </c>
      <c r="E126" s="8" t="s">
        <v>23</v>
      </c>
      <c r="F126" s="8" t="s">
        <v>26</v>
      </c>
      <c r="G126" s="8" t="s">
        <v>30</v>
      </c>
      <c r="H126" s="8" t="s">
        <v>539</v>
      </c>
      <c r="I126" s="8" t="s">
        <v>558</v>
      </c>
      <c r="J126" s="8" t="s">
        <v>536</v>
      </c>
      <c r="K126" s="8" t="s">
        <v>67</v>
      </c>
      <c r="L126" s="8"/>
      <c r="M126" s="9" t="s">
        <v>42</v>
      </c>
      <c r="N126" s="9"/>
    </row>
    <row r="127" customFormat="false" ht="15" hidden="false" customHeight="false" outlineLevel="0" collapsed="false">
      <c r="A127" s="8" t="s">
        <v>559</v>
      </c>
      <c r="B127" s="8" t="s">
        <v>26</v>
      </c>
      <c r="C127" s="8" t="s">
        <v>292</v>
      </c>
      <c r="D127" s="8" t="s">
        <v>560</v>
      </c>
      <c r="E127" s="8" t="s">
        <v>23</v>
      </c>
      <c r="F127" s="8" t="s">
        <v>26</v>
      </c>
      <c r="G127" s="8" t="s">
        <v>30</v>
      </c>
      <c r="H127" s="8" t="s">
        <v>561</v>
      </c>
      <c r="I127" s="8" t="s">
        <v>562</v>
      </c>
      <c r="J127" s="8" t="s">
        <v>91</v>
      </c>
      <c r="K127" s="8" t="s">
        <v>91</v>
      </c>
      <c r="L127" s="8"/>
      <c r="M127" s="9" t="s">
        <v>42</v>
      </c>
      <c r="N127" s="9"/>
    </row>
    <row r="128" customFormat="false" ht="23.85" hidden="false" customHeight="false" outlineLevel="0" collapsed="false">
      <c r="A128" s="8" t="s">
        <v>563</v>
      </c>
      <c r="B128" s="8" t="s">
        <v>40</v>
      </c>
      <c r="C128" s="8" t="s">
        <v>496</v>
      </c>
      <c r="D128" s="8" t="s">
        <v>564</v>
      </c>
      <c r="E128" s="8" t="s">
        <v>17</v>
      </c>
      <c r="F128" s="8" t="s">
        <v>16</v>
      </c>
      <c r="G128" s="8" t="s">
        <v>28</v>
      </c>
      <c r="H128" s="8" t="s">
        <v>565</v>
      </c>
      <c r="I128" s="8" t="s">
        <v>566</v>
      </c>
      <c r="J128" s="8" t="s">
        <v>500</v>
      </c>
      <c r="K128" s="8" t="s">
        <v>67</v>
      </c>
      <c r="L128" s="8"/>
      <c r="M128" s="9" t="s">
        <v>42</v>
      </c>
      <c r="N128" s="9"/>
    </row>
    <row r="129" customFormat="false" ht="23.85" hidden="false" customHeight="false" outlineLevel="0" collapsed="false">
      <c r="A129" s="8" t="s">
        <v>567</v>
      </c>
      <c r="B129" s="8" t="s">
        <v>40</v>
      </c>
      <c r="C129" s="8" t="s">
        <v>496</v>
      </c>
      <c r="D129" s="8" t="s">
        <v>568</v>
      </c>
      <c r="E129" s="8" t="s">
        <v>19</v>
      </c>
      <c r="F129" s="8" t="s">
        <v>16</v>
      </c>
      <c r="G129" s="8" t="s">
        <v>28</v>
      </c>
      <c r="H129" s="8" t="s">
        <v>569</v>
      </c>
      <c r="I129" s="8" t="s">
        <v>570</v>
      </c>
      <c r="J129" s="8" t="s">
        <v>500</v>
      </c>
      <c r="K129" s="8" t="s">
        <v>67</v>
      </c>
      <c r="L129" s="8"/>
      <c r="M129" s="9" t="s">
        <v>42</v>
      </c>
      <c r="N129" s="9"/>
    </row>
    <row r="130" customFormat="false" ht="23.85" hidden="false" customHeight="false" outlineLevel="0" collapsed="false">
      <c r="A130" s="8" t="s">
        <v>571</v>
      </c>
      <c r="B130" s="8" t="s">
        <v>40</v>
      </c>
      <c r="C130" s="8" t="s">
        <v>496</v>
      </c>
      <c r="D130" s="8" t="s">
        <v>572</v>
      </c>
      <c r="E130" s="8" t="s">
        <v>19</v>
      </c>
      <c r="F130" s="8" t="s">
        <v>25</v>
      </c>
      <c r="G130" s="8" t="s">
        <v>29</v>
      </c>
      <c r="H130" s="8" t="s">
        <v>573</v>
      </c>
      <c r="I130" s="8" t="s">
        <v>570</v>
      </c>
      <c r="J130" s="8" t="s">
        <v>500</v>
      </c>
      <c r="K130" s="8" t="s">
        <v>67</v>
      </c>
      <c r="L130" s="8"/>
      <c r="M130" s="9" t="s">
        <v>42</v>
      </c>
      <c r="N130" s="9"/>
    </row>
  </sheetData>
  <autoFilter ref="A1:N130"/>
  <conditionalFormatting sqref="M2:M330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dataValidations count="1">
    <dataValidation allowBlank="false" errorStyle="stop" operator="between" showDropDown="false" showErrorMessage="false" showInputMessage="false" sqref="M2:M330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3" t="s">
        <v>49</v>
      </c>
      <c r="B1" s="3" t="s">
        <v>574</v>
      </c>
      <c r="C1" s="3" t="s">
        <v>575</v>
      </c>
      <c r="D1" s="3" t="s">
        <v>576</v>
      </c>
      <c r="E1" s="3" t="s">
        <v>577</v>
      </c>
    </row>
    <row r="2" customFormat="false" ht="15" hidden="false" customHeight="false" outlineLevel="0" collapsed="false">
      <c r="A2" s="8" t="s">
        <v>62</v>
      </c>
      <c r="B2" s="8" t="s">
        <v>578</v>
      </c>
      <c r="C2" s="8" t="n">
        <f aca="false">COUNTIF('Test Cases'!$C$2:$C$1000,A2)</f>
        <v>6</v>
      </c>
      <c r="D2" s="8" t="str">
        <f aca="false">IF(C2&gt;0,"Yes","No")</f>
        <v>Yes</v>
      </c>
      <c r="E2" s="8" t="n">
        <f aca="false">COUNTIFS('Test Cases'!$C$2:$C$1000,A2,'Test Cases'!$K$2:$K$1000,"&lt;&gt;Manual")</f>
        <v>5</v>
      </c>
    </row>
    <row r="3" customFormat="false" ht="15" hidden="false" customHeight="false" outlineLevel="0" collapsed="false">
      <c r="A3" s="8" t="s">
        <v>93</v>
      </c>
      <c r="B3" s="8" t="s">
        <v>579</v>
      </c>
      <c r="C3" s="8" t="n">
        <f aca="false">COUNTIF('Test Cases'!$C$2:$C$1000,A3)</f>
        <v>4</v>
      </c>
      <c r="D3" s="8" t="str">
        <f aca="false">IF(C3&gt;0,"Yes","No")</f>
        <v>Yes</v>
      </c>
      <c r="E3" s="8" t="n">
        <f aca="false">COUNTIFS('Test Cases'!$C$2:$C$1000,A3,'Test Cases'!$K$2:$K$1000,"&lt;&gt;Manual")</f>
        <v>2</v>
      </c>
    </row>
    <row r="4" customFormat="false" ht="15" hidden="false" customHeight="false" outlineLevel="0" collapsed="false">
      <c r="A4" s="8" t="s">
        <v>108</v>
      </c>
      <c r="B4" s="8" t="s">
        <v>580</v>
      </c>
      <c r="C4" s="8" t="n">
        <f aca="false">COUNTIF('Test Cases'!$C$2:$C$1000,A4)</f>
        <v>6</v>
      </c>
      <c r="D4" s="8" t="str">
        <f aca="false">IF(C4&gt;0,"Yes","No")</f>
        <v>Yes</v>
      </c>
      <c r="E4" s="8" t="n">
        <f aca="false">COUNTIFS('Test Cases'!$C$2:$C$1000,A4,'Test Cases'!$K$2:$K$1000,"&lt;&gt;Manual")</f>
        <v>6</v>
      </c>
    </row>
    <row r="5" customFormat="false" ht="15" hidden="false" customHeight="false" outlineLevel="0" collapsed="false">
      <c r="A5" s="8" t="s">
        <v>135</v>
      </c>
      <c r="B5" s="8" t="s">
        <v>581</v>
      </c>
      <c r="C5" s="8" t="n">
        <f aca="false">COUNTIF('Test Cases'!$C$2:$C$1000,A5)</f>
        <v>8</v>
      </c>
      <c r="D5" s="8" t="str">
        <f aca="false">IF(C5&gt;0,"Yes","No")</f>
        <v>Yes</v>
      </c>
      <c r="E5" s="8" t="n">
        <f aca="false">COUNTIFS('Test Cases'!$C$2:$C$1000,A5,'Test Cases'!$K$2:$K$1000,"&lt;&gt;Manual")</f>
        <v>6</v>
      </c>
    </row>
    <row r="6" customFormat="false" ht="15" hidden="false" customHeight="false" outlineLevel="0" collapsed="false">
      <c r="A6" s="8" t="s">
        <v>164</v>
      </c>
      <c r="B6" s="8" t="s">
        <v>582</v>
      </c>
      <c r="C6" s="8" t="n">
        <f aca="false">COUNTIF('Test Cases'!$C$2:$C$1000,A6)</f>
        <v>6</v>
      </c>
      <c r="D6" s="8" t="str">
        <f aca="false">IF(C6&gt;0,"Yes","No")</f>
        <v>Yes</v>
      </c>
      <c r="E6" s="8" t="n">
        <f aca="false">COUNTIFS('Test Cases'!$C$2:$C$1000,A6,'Test Cases'!$K$2:$K$1000,"&lt;&gt;Manual")</f>
        <v>4</v>
      </c>
    </row>
    <row r="7" customFormat="false" ht="15" hidden="false" customHeight="false" outlineLevel="0" collapsed="false">
      <c r="A7" s="8" t="s">
        <v>184</v>
      </c>
      <c r="B7" s="8" t="s">
        <v>583</v>
      </c>
      <c r="C7" s="8" t="n">
        <f aca="false">COUNTIF('Test Cases'!$C$2:$C$1000,A7)</f>
        <v>16</v>
      </c>
      <c r="D7" s="8" t="str">
        <f aca="false">IF(C7&gt;0,"Yes","No")</f>
        <v>Yes</v>
      </c>
      <c r="E7" s="8" t="n">
        <f aca="false">COUNTIFS('Test Cases'!$C$2:$C$1000,A7,'Test Cases'!$K$2:$K$1000,"&lt;&gt;Manual")</f>
        <v>13</v>
      </c>
    </row>
    <row r="8" customFormat="false" ht="15" hidden="false" customHeight="false" outlineLevel="0" collapsed="false">
      <c r="A8" s="8" t="s">
        <v>169</v>
      </c>
      <c r="B8" s="8" t="s">
        <v>584</v>
      </c>
      <c r="C8" s="8" t="n">
        <f aca="false">COUNTIF('Test Cases'!$C$2:$C$1000,A8)</f>
        <v>3</v>
      </c>
      <c r="D8" s="8" t="str">
        <f aca="false">IF(C8&gt;0,"Yes","No")</f>
        <v>Yes</v>
      </c>
      <c r="E8" s="8" t="n">
        <f aca="false">COUNTIFS('Test Cases'!$C$2:$C$1000,A8,'Test Cases'!$K$2:$K$1000,"&lt;&gt;Manual")</f>
        <v>2</v>
      </c>
    </row>
    <row r="9" customFormat="false" ht="15" hidden="false" customHeight="false" outlineLevel="0" collapsed="false">
      <c r="A9" s="8" t="s">
        <v>259</v>
      </c>
      <c r="B9" s="8" t="s">
        <v>585</v>
      </c>
      <c r="C9" s="8" t="n">
        <f aca="false">COUNTIF('Test Cases'!$C$2:$C$1000,A9)</f>
        <v>3</v>
      </c>
      <c r="D9" s="8" t="str">
        <f aca="false">IF(C9&gt;0,"Yes","No")</f>
        <v>Yes</v>
      </c>
      <c r="E9" s="8" t="n">
        <f aca="false">COUNTIFS('Test Cases'!$C$2:$C$1000,A9,'Test Cases'!$K$2:$K$1000,"&lt;&gt;Manual")</f>
        <v>3</v>
      </c>
    </row>
    <row r="10" customFormat="false" ht="15" hidden="false" customHeight="false" outlineLevel="0" collapsed="false">
      <c r="A10" s="8" t="s">
        <v>306</v>
      </c>
      <c r="B10" s="8" t="s">
        <v>586</v>
      </c>
      <c r="C10" s="8" t="n">
        <f aca="false">COUNTIF('Test Cases'!$C$2:$C$1000,A10)</f>
        <v>10</v>
      </c>
      <c r="D10" s="8" t="str">
        <f aca="false">IF(C10&gt;0,"Yes","No")</f>
        <v>Yes</v>
      </c>
      <c r="E10" s="8" t="n">
        <f aca="false">COUNTIFS('Test Cases'!$C$2:$C$1000,A10,'Test Cases'!$K$2:$K$1000,"&lt;&gt;Manual")</f>
        <v>6</v>
      </c>
    </row>
    <row r="11" customFormat="false" ht="15" hidden="false" customHeight="false" outlineLevel="0" collapsed="false">
      <c r="A11" s="8" t="s">
        <v>277</v>
      </c>
      <c r="B11" s="8" t="s">
        <v>587</v>
      </c>
      <c r="C11" s="8" t="n">
        <f aca="false">COUNTIF('Test Cases'!$C$2:$C$1000,A11)</f>
        <v>3</v>
      </c>
      <c r="D11" s="8" t="str">
        <f aca="false">IF(C11&gt;0,"Yes","No")</f>
        <v>Yes</v>
      </c>
      <c r="E11" s="8" t="n">
        <f aca="false">COUNTIFS('Test Cases'!$C$2:$C$1000,A11,'Test Cases'!$K$2:$K$1000,"&lt;&gt;Manual")</f>
        <v>2</v>
      </c>
    </row>
    <row r="12" customFormat="false" ht="15" hidden="false" customHeight="false" outlineLevel="0" collapsed="false">
      <c r="A12" s="8" t="s">
        <v>292</v>
      </c>
      <c r="B12" s="8" t="s">
        <v>588</v>
      </c>
      <c r="C12" s="8" t="n">
        <f aca="false">COUNTIF('Test Cases'!$C$2:$C$1000,A12)</f>
        <v>4</v>
      </c>
      <c r="D12" s="8" t="str">
        <f aca="false">IF(C12&gt;0,"Yes","No")</f>
        <v>Yes</v>
      </c>
      <c r="E12" s="8" t="n">
        <f aca="false">COUNTIFS('Test Cases'!$C$2:$C$1000,A12,'Test Cases'!$K$2:$K$1000,"&lt;&gt;Manual")</f>
        <v>3</v>
      </c>
    </row>
    <row r="13" customFormat="false" ht="15" hidden="false" customHeight="false" outlineLevel="0" collapsed="false">
      <c r="A13" s="8" t="s">
        <v>352</v>
      </c>
      <c r="B13" s="8" t="s">
        <v>589</v>
      </c>
      <c r="C13" s="8" t="n">
        <f aca="false">COUNTIF('Test Cases'!$C$2:$C$1000,A13)</f>
        <v>7</v>
      </c>
      <c r="D13" s="8" t="str">
        <f aca="false">IF(C13&gt;0,"Yes","No")</f>
        <v>Yes</v>
      </c>
      <c r="E13" s="8" t="n">
        <f aca="false">COUNTIFS('Test Cases'!$C$2:$C$1000,A13,'Test Cases'!$K$2:$K$1000,"&lt;&gt;Manual")</f>
        <v>6</v>
      </c>
    </row>
    <row r="14" customFormat="false" ht="15" hidden="false" customHeight="false" outlineLevel="0" collapsed="false">
      <c r="A14" s="8" t="s">
        <v>361</v>
      </c>
      <c r="B14" s="8" t="s">
        <v>590</v>
      </c>
      <c r="C14" s="8" t="n">
        <f aca="false">COUNTIF('Test Cases'!$C$2:$C$1000,A14)</f>
        <v>2</v>
      </c>
      <c r="D14" s="8" t="str">
        <f aca="false">IF(C14&gt;0,"Yes","No")</f>
        <v>Yes</v>
      </c>
      <c r="E14" s="8" t="n">
        <f aca="false">COUNTIFS('Test Cases'!$C$2:$C$1000,A14,'Test Cases'!$K$2:$K$1000,"&lt;&gt;Manual")</f>
        <v>2</v>
      </c>
    </row>
    <row r="15" customFormat="false" ht="15" hidden="false" customHeight="false" outlineLevel="0" collapsed="false">
      <c r="A15" s="8" t="s">
        <v>371</v>
      </c>
      <c r="B15" s="8" t="s">
        <v>591</v>
      </c>
      <c r="C15" s="8" t="n">
        <f aca="false">COUNTIF('Test Cases'!$C$2:$C$1000,A15)</f>
        <v>4</v>
      </c>
      <c r="D15" s="8" t="str">
        <f aca="false">IF(C15&gt;0,"Yes","No")</f>
        <v>Yes</v>
      </c>
      <c r="E15" s="8" t="n">
        <f aca="false">COUNTIFS('Test Cases'!$C$2:$C$1000,A15,'Test Cases'!$K$2:$K$1000,"&lt;&gt;Manual")</f>
        <v>3</v>
      </c>
    </row>
    <row r="16" customFormat="false" ht="15" hidden="false" customHeight="false" outlineLevel="0" collapsed="false">
      <c r="A16" s="8" t="s">
        <v>271</v>
      </c>
      <c r="B16" s="8" t="s">
        <v>592</v>
      </c>
      <c r="C16" s="8" t="n">
        <f aca="false">COUNTIF('Test Cases'!$C$2:$C$1000,A16)</f>
        <v>6</v>
      </c>
      <c r="D16" s="8" t="str">
        <f aca="false">IF(C16&gt;0,"Yes","No")</f>
        <v>Yes</v>
      </c>
      <c r="E16" s="8" t="n">
        <f aca="false">COUNTIFS('Test Cases'!$C$2:$C$1000,A16,'Test Cases'!$K$2:$K$1000,"&lt;&gt;Manual")</f>
        <v>4</v>
      </c>
    </row>
    <row r="17" customFormat="false" ht="15" hidden="false" customHeight="false" outlineLevel="0" collapsed="false">
      <c r="A17" s="8" t="s">
        <v>410</v>
      </c>
      <c r="B17" s="8" t="s">
        <v>593</v>
      </c>
      <c r="C17" s="8" t="n">
        <f aca="false">COUNTIF('Test Cases'!$C$2:$C$1000,A17)</f>
        <v>5</v>
      </c>
      <c r="D17" s="8" t="str">
        <f aca="false">IF(C17&gt;0,"Yes","No")</f>
        <v>Yes</v>
      </c>
      <c r="E17" s="8" t="n">
        <f aca="false">COUNTIFS('Test Cases'!$C$2:$C$1000,A17,'Test Cases'!$K$2:$K$1000,"&lt;&gt;Manual")</f>
        <v>5</v>
      </c>
    </row>
    <row r="18" customFormat="false" ht="15" hidden="false" customHeight="false" outlineLevel="0" collapsed="false">
      <c r="A18" s="8" t="s">
        <v>480</v>
      </c>
      <c r="B18" s="8" t="s">
        <v>594</v>
      </c>
      <c r="C18" s="8" t="n">
        <f aca="false">COUNTIF('Test Cases'!$C$2:$C$1000,A18)</f>
        <v>6</v>
      </c>
      <c r="D18" s="8" t="str">
        <f aca="false">IF(C18&gt;0,"Yes","No")</f>
        <v>Yes</v>
      </c>
      <c r="E18" s="8" t="n">
        <f aca="false">COUNTIFS('Test Cases'!$C$2:$C$1000,A18,'Test Cases'!$K$2:$K$1000,"&lt;&gt;Manual")</f>
        <v>5</v>
      </c>
    </row>
    <row r="19" customFormat="false" ht="15" hidden="false" customHeight="false" outlineLevel="0" collapsed="false">
      <c r="A19" s="8" t="s">
        <v>430</v>
      </c>
      <c r="B19" s="8" t="s">
        <v>595</v>
      </c>
      <c r="C19" s="8" t="n">
        <f aca="false">COUNTIF('Test Cases'!$C$2:$C$1000,A19)</f>
        <v>11</v>
      </c>
      <c r="D19" s="8" t="str">
        <f aca="false">IF(C19&gt;0,"Yes","No")</f>
        <v>Yes</v>
      </c>
      <c r="E19" s="8" t="n">
        <f aca="false">COUNTIFS('Test Cases'!$C$2:$C$1000,A19,'Test Cases'!$K$2:$K$1000,"&lt;&gt;Manual")</f>
        <v>8</v>
      </c>
    </row>
    <row r="20" customFormat="false" ht="15" hidden="false" customHeight="false" outlineLevel="0" collapsed="false">
      <c r="A20" s="8" t="s">
        <v>496</v>
      </c>
      <c r="B20" s="8" t="s">
        <v>596</v>
      </c>
      <c r="C20" s="8" t="n">
        <f aca="false">COUNTIF('Test Cases'!$C$2:$C$1000,A20)</f>
        <v>11</v>
      </c>
      <c r="D20" s="8" t="str">
        <f aca="false">IF(C20&gt;0,"Yes","No")</f>
        <v>Yes</v>
      </c>
      <c r="E20" s="8" t="n">
        <f aca="false">COUNTIFS('Test Cases'!$C$2:$C$1000,A20,'Test Cases'!$K$2:$K$1000,"&lt;&gt;Manual")</f>
        <v>9</v>
      </c>
    </row>
    <row r="21" customFormat="false" ht="15" hidden="false" customHeight="false" outlineLevel="0" collapsed="false">
      <c r="A21" s="8" t="s">
        <v>532</v>
      </c>
      <c r="B21" s="8" t="s">
        <v>597</v>
      </c>
      <c r="C21" s="8" t="n">
        <f aca="false">COUNTIF('Test Cases'!$C$2:$C$1000,A21)</f>
        <v>8</v>
      </c>
      <c r="D21" s="8" t="str">
        <f aca="false">IF(C21&gt;0,"Yes","No")</f>
        <v>Yes</v>
      </c>
      <c r="E21" s="8" t="n">
        <f aca="false">COUNTIFS('Test Cases'!$C$2:$C$1000,A21,'Test Cases'!$K$2:$K$1000,"&lt;&gt;Manual")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3" t="s">
        <v>598</v>
      </c>
      <c r="B1" s="3" t="s">
        <v>599</v>
      </c>
      <c r="C1" s="3" t="s">
        <v>52</v>
      </c>
      <c r="D1" s="3" t="s">
        <v>600</v>
      </c>
      <c r="E1" s="3" t="s">
        <v>601</v>
      </c>
      <c r="F1" s="3" t="s">
        <v>602</v>
      </c>
    </row>
    <row r="2" customFormat="false" ht="23.85" hidden="false" customHeight="false" outlineLevel="0" collapsed="false">
      <c r="A2" s="8" t="s">
        <v>81</v>
      </c>
      <c r="B2" s="8" t="s">
        <v>603</v>
      </c>
      <c r="C2" s="8" t="s">
        <v>16</v>
      </c>
      <c r="D2" s="8" t="s">
        <v>604</v>
      </c>
      <c r="E2" s="8" t="n">
        <f aca="false">COUNTIF('Test Cases'!$L$2:$L$1000,A2)</f>
        <v>1</v>
      </c>
      <c r="F2" s="8" t="s">
        <v>605</v>
      </c>
    </row>
    <row r="3" customFormat="false" ht="23.85" hidden="false" customHeight="false" outlineLevel="0" collapsed="false">
      <c r="A3" s="8" t="s">
        <v>187</v>
      </c>
      <c r="B3" s="8" t="s">
        <v>606</v>
      </c>
      <c r="C3" s="8" t="s">
        <v>607</v>
      </c>
      <c r="D3" s="8" t="s">
        <v>608</v>
      </c>
      <c r="E3" s="8" t="n">
        <f aca="false">COUNTIF('Test Cases'!$L$2:$L$1000,A3)</f>
        <v>5</v>
      </c>
      <c r="F3" s="8" t="s">
        <v>609</v>
      </c>
    </row>
    <row r="4" customFormat="false" ht="23.85" hidden="false" customHeight="false" outlineLevel="0" collapsed="false">
      <c r="A4" s="8" t="s">
        <v>275</v>
      </c>
      <c r="B4" s="8" t="s">
        <v>610</v>
      </c>
      <c r="C4" s="8" t="s">
        <v>16</v>
      </c>
      <c r="D4" s="8" t="s">
        <v>611</v>
      </c>
      <c r="E4" s="8" t="n">
        <f aca="false">COUNTIF('Test Cases'!$L$2:$L$1000,A4)</f>
        <v>5</v>
      </c>
      <c r="F4" s="8" t="s">
        <v>612</v>
      </c>
    </row>
    <row r="5" customFormat="false" ht="23.85" hidden="false" customHeight="false" outlineLevel="0" collapsed="false">
      <c r="A5" s="8" t="s">
        <v>369</v>
      </c>
      <c r="B5" s="8" t="s">
        <v>613</v>
      </c>
      <c r="C5" s="8" t="s">
        <v>607</v>
      </c>
      <c r="D5" s="8" t="s">
        <v>611</v>
      </c>
      <c r="E5" s="8" t="n">
        <f aca="false">COUNTIF('Test Cases'!$L$2:$L$1000,A5)</f>
        <v>2</v>
      </c>
      <c r="F5" s="8" t="s">
        <v>614</v>
      </c>
    </row>
    <row r="6" customFormat="false" ht="23.85" hidden="false" customHeight="false" outlineLevel="0" collapsed="false">
      <c r="A6" s="8" t="s">
        <v>364</v>
      </c>
      <c r="B6" s="8" t="s">
        <v>615</v>
      </c>
      <c r="C6" s="8" t="s">
        <v>607</v>
      </c>
      <c r="D6" s="8" t="s">
        <v>611</v>
      </c>
      <c r="E6" s="8" t="n">
        <f aca="false">COUNTIF('Test Cases'!$L$2:$L$1000,A6)</f>
        <v>2</v>
      </c>
      <c r="F6" s="8" t="s">
        <v>616</v>
      </c>
    </row>
    <row r="7" customFormat="false" ht="23.85" hidden="false" customHeight="false" outlineLevel="0" collapsed="false">
      <c r="A7" s="8" t="s">
        <v>314</v>
      </c>
      <c r="B7" s="8" t="s">
        <v>617</v>
      </c>
      <c r="C7" s="8" t="s">
        <v>618</v>
      </c>
      <c r="D7" s="8" t="s">
        <v>604</v>
      </c>
      <c r="E7" s="8" t="n">
        <f aca="false">COUNTIF('Test Cases'!$L$2:$L$1000,A7)</f>
        <v>2</v>
      </c>
      <c r="F7" s="8" t="s">
        <v>619</v>
      </c>
    </row>
    <row r="8" customFormat="false" ht="23.85" hidden="false" customHeight="false" outlineLevel="0" collapsed="false">
      <c r="A8" s="8" t="s">
        <v>182</v>
      </c>
      <c r="B8" s="8" t="s">
        <v>620</v>
      </c>
      <c r="C8" s="8" t="s">
        <v>607</v>
      </c>
      <c r="D8" s="8" t="s">
        <v>608</v>
      </c>
      <c r="E8" s="8" t="n">
        <f aca="false">COUNTIF('Test Cases'!$L$2:$L$1000,A8)</f>
        <v>2</v>
      </c>
      <c r="F8" s="8" t="s">
        <v>621</v>
      </c>
    </row>
    <row r="9" customFormat="false" ht="23.85" hidden="false" customHeight="false" outlineLevel="0" collapsed="false">
      <c r="A9" s="8" t="s">
        <v>120</v>
      </c>
      <c r="B9" s="8" t="s">
        <v>622</v>
      </c>
      <c r="C9" s="8" t="s">
        <v>16</v>
      </c>
      <c r="D9" s="8" t="s">
        <v>604</v>
      </c>
      <c r="E9" s="8" t="n">
        <f aca="false">COUNTIF('Test Cases'!$L$2:$L$1000,A9)</f>
        <v>1</v>
      </c>
      <c r="F9" s="8" t="s">
        <v>623</v>
      </c>
    </row>
    <row r="10" customFormat="false" ht="23.85" hidden="false" customHeight="false" outlineLevel="0" collapsed="false">
      <c r="A10" s="8" t="s">
        <v>223</v>
      </c>
      <c r="B10" s="8" t="s">
        <v>624</v>
      </c>
      <c r="C10" s="8" t="s">
        <v>16</v>
      </c>
      <c r="D10" s="8" t="s">
        <v>604</v>
      </c>
      <c r="E10" s="8" t="n">
        <f aca="false">COUNTIF('Test Cases'!$L$2:$L$1000,A10)</f>
        <v>1</v>
      </c>
      <c r="F10" s="8" t="s">
        <v>625</v>
      </c>
    </row>
    <row r="11" customFormat="false" ht="23.85" hidden="false" customHeight="false" outlineLevel="0" collapsed="false">
      <c r="A11" s="8" t="s">
        <v>381</v>
      </c>
      <c r="B11" s="8" t="s">
        <v>626</v>
      </c>
      <c r="C11" s="8" t="s">
        <v>607</v>
      </c>
      <c r="D11" s="8" t="s">
        <v>608</v>
      </c>
      <c r="E11" s="8" t="n">
        <f aca="false">COUNTIF('Test Cases'!$L$2:$L$1000,A11)</f>
        <v>2</v>
      </c>
      <c r="F11" s="8" t="s">
        <v>627</v>
      </c>
    </row>
    <row r="12" customFormat="false" ht="15" hidden="false" customHeight="false" outlineLevel="0" collapsed="false">
      <c r="A12" s="8" t="s">
        <v>434</v>
      </c>
      <c r="B12" s="8" t="s">
        <v>628</v>
      </c>
      <c r="C12" s="8" t="s">
        <v>25</v>
      </c>
      <c r="D12" s="8" t="s">
        <v>604</v>
      </c>
      <c r="E12" s="8" t="n">
        <f aca="false">COUNTIF('Test Cases'!$L$2:$L$1000,A12)</f>
        <v>2</v>
      </c>
      <c r="F12" s="8" t="s">
        <v>629</v>
      </c>
    </row>
    <row r="13" customFormat="false" ht="15" hidden="false" customHeight="false" outlineLevel="0" collapsed="false">
      <c r="A13" s="8" t="s">
        <v>438</v>
      </c>
      <c r="B13" s="8" t="s">
        <v>630</v>
      </c>
      <c r="C13" s="8" t="s">
        <v>25</v>
      </c>
      <c r="D13" s="8" t="s">
        <v>631</v>
      </c>
      <c r="E13" s="8" t="n">
        <f aca="false">COUNTIF('Test Cases'!$L$2:$L$1000,A13)</f>
        <v>2</v>
      </c>
      <c r="F13" s="8" t="s">
        <v>632</v>
      </c>
    </row>
    <row r="14" customFormat="false" ht="15" hidden="false" customHeight="false" outlineLevel="0" collapsed="false">
      <c r="A14" s="8" t="s">
        <v>469</v>
      </c>
      <c r="B14" s="8" t="s">
        <v>633</v>
      </c>
      <c r="C14" s="8" t="s">
        <v>25</v>
      </c>
      <c r="D14" s="8" t="s">
        <v>604</v>
      </c>
      <c r="E14" s="8" t="n">
        <f aca="false">COUNTIF('Test Cases'!$L$2:$L$1000,A14)</f>
        <v>5</v>
      </c>
      <c r="F14" s="8" t="s">
        <v>634</v>
      </c>
    </row>
    <row r="15" customFormat="false" ht="15" hidden="false" customHeight="false" outlineLevel="0" collapsed="false">
      <c r="A15" s="8" t="s">
        <v>446</v>
      </c>
      <c r="B15" s="8" t="s">
        <v>635</v>
      </c>
      <c r="C15" s="8" t="s">
        <v>25</v>
      </c>
      <c r="D15" s="8" t="s">
        <v>608</v>
      </c>
      <c r="E15" s="8" t="n">
        <f aca="false">COUNTIF('Test Cases'!$L$2:$L$1000,A15)</f>
        <v>2</v>
      </c>
      <c r="F15" s="8" t="s">
        <v>636</v>
      </c>
    </row>
    <row r="16" customFormat="false" ht="15" hidden="false" customHeight="false" outlineLevel="0" collapsed="false">
      <c r="A16" s="8" t="s">
        <v>133</v>
      </c>
      <c r="B16" s="8" t="s">
        <v>637</v>
      </c>
      <c r="C16" s="8" t="s">
        <v>25</v>
      </c>
      <c r="D16" s="8" t="s">
        <v>604</v>
      </c>
      <c r="E16" s="8" t="n">
        <f aca="false">COUNTIF('Test Cases'!$L$2:$L$1000,A16)</f>
        <v>2</v>
      </c>
      <c r="F16" s="8" t="s">
        <v>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2026-10-14T16:39:39Z</dcterms:created>
  <dc:creator>openpyxl</dc:creator>
  <dc:description/>
  <dc:language>en-US</dc:language>
  <cp:lastModifiedBy/>
  <dcterms:modified xsi:type="dcterms:W3CDTF">2026-10-14T16:39:39Z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